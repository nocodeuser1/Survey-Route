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undship/Documents/RIVR/Survey-Route/project/Shared Files for AI/"/>
    </mc:Choice>
  </mc:AlternateContent>
  <xr:revisionPtr revIDLastSave="0" documentId="13_ncr:1_{A2A9B8CB-0EC6-2B48-AFA4-4EEB8E2F070C}" xr6:coauthVersionLast="47" xr6:coauthVersionMax="47" xr10:uidLastSave="{00000000-0000-0000-0000-000000000000}"/>
  <bookViews>
    <workbookView xWindow="0" yWindow="600" windowWidth="28800" windowHeight="17400" xr2:uid="{F0A4A4CD-F1B5-E24C-A134-D8D00607AD01}"/>
  </bookViews>
  <sheets>
    <sheet name="SPCC" sheetId="1" r:id="rId1"/>
  </sheets>
  <externalReferences>
    <externalReference r:id="rId2"/>
  </externalReferences>
  <definedNames>
    <definedName name="Compressor_data">#REF!</definedName>
    <definedName name="Compressors_Moved">#REF!</definedName>
    <definedName name="Cooler_current">#REF!</definedName>
    <definedName name="MACH">#REF!</definedName>
    <definedName name="OP">#REF!</definedName>
    <definedName name="SEC_ACR_ALLOCATION">[1]!SEC_ALLOCATION[#Data]</definedName>
    <definedName name="Sites">OFFSET(#REF!,0,0,SUMPRODUCT(--(#REF!&lt;&gt;"")),1)</definedName>
    <definedName name="SOLD">#REF!</definedName>
    <definedName name="SPCCData">SPCC!$A$9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9" i="1" l="1"/>
  <c r="M129" i="1" s="1"/>
  <c r="F129" i="1"/>
  <c r="N128" i="1"/>
  <c r="F128" i="1"/>
  <c r="N127" i="1"/>
  <c r="F127" i="1"/>
  <c r="N126" i="1"/>
  <c r="F126" i="1"/>
  <c r="N125" i="1"/>
  <c r="F125" i="1"/>
  <c r="N124" i="1"/>
  <c r="F124" i="1"/>
  <c r="N123" i="1"/>
  <c r="F123" i="1"/>
  <c r="N122" i="1"/>
  <c r="F122" i="1"/>
  <c r="N121" i="1"/>
  <c r="F121" i="1"/>
  <c r="N120" i="1"/>
  <c r="F120" i="1"/>
  <c r="N119" i="1"/>
  <c r="F119" i="1"/>
  <c r="N118" i="1"/>
  <c r="F118" i="1"/>
  <c r="N117" i="1"/>
  <c r="F117" i="1"/>
  <c r="N116" i="1"/>
  <c r="F116" i="1"/>
  <c r="N115" i="1"/>
  <c r="F115" i="1"/>
  <c r="N114" i="1"/>
  <c r="F114" i="1"/>
  <c r="N113" i="1"/>
  <c r="F113" i="1"/>
  <c r="N112" i="1"/>
  <c r="F112" i="1"/>
  <c r="N111" i="1"/>
  <c r="F111" i="1"/>
  <c r="N110" i="1"/>
  <c r="F110" i="1"/>
  <c r="N109" i="1"/>
  <c r="F109" i="1"/>
  <c r="N108" i="1"/>
  <c r="F108" i="1"/>
  <c r="N107" i="1"/>
  <c r="F107" i="1"/>
  <c r="N106" i="1"/>
  <c r="F106" i="1"/>
  <c r="N105" i="1"/>
  <c r="F105" i="1"/>
  <c r="N104" i="1"/>
  <c r="F104" i="1"/>
  <c r="N103" i="1"/>
  <c r="F103" i="1"/>
  <c r="N102" i="1"/>
  <c r="F102" i="1"/>
  <c r="N101" i="1"/>
  <c r="F101" i="1"/>
  <c r="N100" i="1"/>
  <c r="F100" i="1"/>
  <c r="N99" i="1"/>
  <c r="F99" i="1"/>
  <c r="N98" i="1"/>
  <c r="F98" i="1"/>
  <c r="N97" i="1"/>
  <c r="F97" i="1"/>
  <c r="N96" i="1"/>
  <c r="F96" i="1"/>
  <c r="N95" i="1"/>
  <c r="F95" i="1"/>
  <c r="N94" i="1"/>
  <c r="F94" i="1"/>
  <c r="N93" i="1"/>
  <c r="F93" i="1"/>
  <c r="N92" i="1"/>
  <c r="F92" i="1"/>
  <c r="N91" i="1"/>
  <c r="F91" i="1"/>
  <c r="N90" i="1"/>
  <c r="F90" i="1"/>
  <c r="N89" i="1"/>
  <c r="F89" i="1"/>
  <c r="N88" i="1"/>
  <c r="F88" i="1"/>
  <c r="N87" i="1"/>
  <c r="F87" i="1"/>
  <c r="N86" i="1"/>
  <c r="F86" i="1"/>
  <c r="N85" i="1"/>
  <c r="F85" i="1"/>
  <c r="N84" i="1"/>
  <c r="F84" i="1"/>
  <c r="N83" i="1"/>
  <c r="F83" i="1"/>
  <c r="N82" i="1"/>
  <c r="F82" i="1"/>
  <c r="N81" i="1"/>
  <c r="F81" i="1"/>
  <c r="N80" i="1"/>
  <c r="F80" i="1"/>
  <c r="N79" i="1"/>
  <c r="F79" i="1"/>
  <c r="N78" i="1"/>
  <c r="F78" i="1"/>
  <c r="N77" i="1"/>
  <c r="F77" i="1"/>
  <c r="N76" i="1"/>
  <c r="F76" i="1"/>
  <c r="N75" i="1"/>
  <c r="F75" i="1"/>
  <c r="N74" i="1"/>
  <c r="F74" i="1"/>
  <c r="N73" i="1"/>
  <c r="F73" i="1"/>
  <c r="N72" i="1"/>
  <c r="F72" i="1"/>
  <c r="N71" i="1"/>
  <c r="F71" i="1"/>
  <c r="N70" i="1"/>
  <c r="F70" i="1"/>
  <c r="N69" i="1"/>
  <c r="F69" i="1"/>
  <c r="N68" i="1"/>
  <c r="F68" i="1"/>
  <c r="N67" i="1"/>
  <c r="F67" i="1"/>
  <c r="N66" i="1"/>
  <c r="F66" i="1"/>
  <c r="N65" i="1"/>
  <c r="F65" i="1"/>
  <c r="N64" i="1"/>
  <c r="F64" i="1"/>
  <c r="N63" i="1"/>
  <c r="F63" i="1"/>
  <c r="N62" i="1"/>
  <c r="F62" i="1"/>
  <c r="N61" i="1"/>
  <c r="F61" i="1"/>
  <c r="N60" i="1"/>
  <c r="F60" i="1"/>
  <c r="N59" i="1"/>
  <c r="F59" i="1"/>
  <c r="N58" i="1"/>
  <c r="F58" i="1"/>
  <c r="N57" i="1"/>
  <c r="F57" i="1"/>
  <c r="N56" i="1"/>
  <c r="F56" i="1"/>
  <c r="N55" i="1"/>
  <c r="F55" i="1"/>
  <c r="N54" i="1"/>
  <c r="F54" i="1"/>
  <c r="N53" i="1"/>
  <c r="F53" i="1"/>
  <c r="N52" i="1"/>
  <c r="F52" i="1"/>
  <c r="N51" i="1"/>
  <c r="F51" i="1"/>
  <c r="N50" i="1"/>
  <c r="F50" i="1"/>
  <c r="N49" i="1"/>
  <c r="F49" i="1"/>
  <c r="N48" i="1"/>
  <c r="F48" i="1"/>
  <c r="N47" i="1"/>
  <c r="F47" i="1"/>
  <c r="N46" i="1"/>
  <c r="F46" i="1"/>
  <c r="N45" i="1"/>
  <c r="F45" i="1"/>
  <c r="N44" i="1"/>
  <c r="F44" i="1"/>
  <c r="N43" i="1"/>
  <c r="F43" i="1"/>
  <c r="N42" i="1"/>
  <c r="F42" i="1"/>
  <c r="N41" i="1"/>
  <c r="F41" i="1"/>
  <c r="N40" i="1"/>
  <c r="F40" i="1"/>
  <c r="N39" i="1"/>
  <c r="F39" i="1"/>
  <c r="N38" i="1"/>
  <c r="F38" i="1"/>
  <c r="N37" i="1"/>
  <c r="F37" i="1"/>
  <c r="N36" i="1"/>
  <c r="F36" i="1"/>
  <c r="N35" i="1"/>
  <c r="F35" i="1"/>
  <c r="N34" i="1"/>
  <c r="F34" i="1"/>
  <c r="N33" i="1"/>
  <c r="F33" i="1"/>
  <c r="N32" i="1"/>
  <c r="F32" i="1"/>
  <c r="N31" i="1"/>
  <c r="F31" i="1"/>
  <c r="N30" i="1"/>
  <c r="F30" i="1"/>
  <c r="N29" i="1"/>
  <c r="F29" i="1"/>
  <c r="N28" i="1"/>
  <c r="F28" i="1"/>
  <c r="N27" i="1"/>
  <c r="F27" i="1"/>
  <c r="N26" i="1"/>
  <c r="F26" i="1"/>
  <c r="N25" i="1"/>
  <c r="F25" i="1"/>
  <c r="N24" i="1"/>
  <c r="F24" i="1"/>
  <c r="N23" i="1"/>
  <c r="F23" i="1"/>
  <c r="N22" i="1"/>
  <c r="F22" i="1"/>
  <c r="N21" i="1"/>
  <c r="F21" i="1"/>
  <c r="N20" i="1"/>
  <c r="F20" i="1"/>
  <c r="N19" i="1"/>
  <c r="F19" i="1"/>
  <c r="N18" i="1"/>
  <c r="F18" i="1"/>
  <c r="N17" i="1"/>
  <c r="F17" i="1"/>
  <c r="N16" i="1"/>
  <c r="F16" i="1"/>
  <c r="N15" i="1"/>
  <c r="F15" i="1"/>
  <c r="N14" i="1"/>
  <c r="F14" i="1"/>
  <c r="N13" i="1"/>
  <c r="F13" i="1"/>
  <c r="N12" i="1"/>
  <c r="F12" i="1"/>
  <c r="N11" i="1"/>
  <c r="F11" i="1"/>
  <c r="N10" i="1"/>
  <c r="F10" i="1"/>
  <c r="N9" i="1"/>
  <c r="F9" i="1"/>
  <c r="N8" i="1"/>
  <c r="F8" i="1"/>
  <c r="N7" i="1"/>
  <c r="F7" i="1"/>
  <c r="N6" i="1"/>
  <c r="F6" i="1"/>
  <c r="N5" i="1"/>
  <c r="F5" i="1"/>
  <c r="N4" i="1"/>
  <c r="F4" i="1"/>
  <c r="N3" i="1"/>
  <c r="F3" i="1"/>
  <c r="N2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tc={FF49915B-35BB-B04D-A513-AAE1FFB8EE73}</author>
    <author>tc={D3FE0C4E-4A0E-8E45-A32E-173899FF133A}</author>
    <author>tc={FDA4336C-BB06-F047-A73A-9C954920168A}</author>
    <author>tc={EA4E6DC4-E6DB-6548-A89E-6C162DA69469}</author>
    <author>tc={0A221F5D-0651-E046-8515-9E6BA97BAAF9}</author>
    <author>tc={E3492477-8BBE-7B44-B089-FAB40979CCFF}</author>
  </authors>
  <commentList>
    <comment ref="F1" authorId="0" shapeId="0" xr:uid="{FF49915B-35BB-B04D-A513-AAE1FFB8EE73}">
      <text>
        <t>[Threaded comment]
Your version of Excel allows you to read this threaded comment; however, any edits to it will get removed if the file is opened in a newer version of Excel. Learn more: https://go.microsoft.com/fwlink/?linkid=870924
Comment:
    On or before this date.</t>
      </text>
    </comment>
    <comment ref="A8" authorId="1" shapeId="0" xr:uid="{D3FE0C4E-4A0E-8E45-A32E-173899FF133A}">
      <text>
        <t>[Threaded comment]
Your version of Excel allows you to read this threaded comment; however, any edits to it will get removed if the file is opened in a newer version of Excel. Learn more: https://go.microsoft.com/fwlink/?linkid=870924
Comment:
    Awaiting for ground photos</t>
      </text>
    </comment>
    <comment ref="A9" authorId="2" shapeId="0" xr:uid="{FDA4336C-BB06-F047-A73A-9C95492016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Awaiting for ground photos
</t>
      </text>
    </comment>
    <comment ref="A10" authorId="3" shapeId="0" xr:uid="{EA4E6DC4-E6DB-6548-A89E-6C162DA69469}">
      <text>
        <t>[Threaded comment]
Your version of Excel allows you to read this threaded comment; however, any edits to it will get removed if the file is opened in a newer version of Excel. Learn more: https://go.microsoft.com/fwlink/?linkid=870924
Comment:
    Awaiting for ground photos</t>
      </text>
    </comment>
    <comment ref="A11" authorId="4" shapeId="0" xr:uid="{0A221F5D-0651-E046-8515-9E6BA97BAAF9}">
      <text>
        <t>[Threaded comment]
Your version of Excel allows you to read this threaded comment; however, any edits to it will get removed if the file is opened in a newer version of Excel. Learn more: https://go.microsoft.com/fwlink/?linkid=870924
Comment:
    Awaiting for ground photos</t>
      </text>
    </comment>
    <comment ref="A13" authorId="5" shapeId="0" xr:uid="{E3492477-8BBE-7B44-B089-FAB40979CCFF}">
      <text>
        <t>[Threaded comment]
Your version of Excel allows you to read this threaded comment; however, any edits to it will get removed if the file is opened in a newer version of Excel. Learn more: https://go.microsoft.com/fwlink/?linkid=870924
Comment:
    Awaiting for ground photos</t>
      </text>
    </comment>
  </commentList>
</comments>
</file>

<file path=xl/sharedStrings.xml><?xml version="1.0" encoding="utf-8"?>
<sst xmlns="http://schemas.openxmlformats.org/spreadsheetml/2006/main" count="646" uniqueCount="152">
  <si>
    <t>SPCC Renewal Completed</t>
  </si>
  <si>
    <t>Grady</t>
  </si>
  <si>
    <t>Well Name</t>
  </si>
  <si>
    <t>Photos Taken</t>
  </si>
  <si>
    <t>First Prod</t>
  </si>
  <si>
    <t>Field Visit</t>
  </si>
  <si>
    <t>Estimated Oil BOPD</t>
  </si>
  <si>
    <t>PE Stamp Due Date
(&lt; 180 days of Initial Operation)</t>
  </si>
  <si>
    <t>Berm Depth / Height (Inches)</t>
  </si>
  <si>
    <t>Berm Length</t>
  </si>
  <si>
    <t>Berm Width</t>
  </si>
  <si>
    <t>Initial Inspection  Completed</t>
  </si>
  <si>
    <t>PE Stamp Date</t>
  </si>
  <si>
    <t>Camino
Signature Date</t>
  </si>
  <si>
    <t>Recertified Date</t>
  </si>
  <si>
    <t>Recertification Due Date</t>
  </si>
  <si>
    <t>SPCC Status</t>
  </si>
  <si>
    <t>County</t>
  </si>
  <si>
    <t>James Ross 1108 2-11-14 2WXH | James Ross 1108 2-11-14-3MXH</t>
  </si>
  <si>
    <t>Yes</t>
  </si>
  <si>
    <t>Initial SPPC Plan Complete</t>
  </si>
  <si>
    <t>Canadian</t>
  </si>
  <si>
    <t>PICKARD 1H-9</t>
  </si>
  <si>
    <t>MCCOMAS 1H-32-29</t>
  </si>
  <si>
    <t>??</t>
  </si>
  <si>
    <t>James Ross 1108 2-11-14-4MXH | James Ross 1108 2-11-14-5WXH</t>
  </si>
  <si>
    <t>Vince Gill 1108 3-10-15-4WXH &amp; 5MXH</t>
  </si>
  <si>
    <t>Vince Gill 1108-3-10-15 2WXH &amp; 3MXH</t>
  </si>
  <si>
    <t>ADAMS 24-34 3,4,6 (WEST)</t>
  </si>
  <si>
    <t>THURSTON 1-5-6-1H</t>
  </si>
  <si>
    <t>BAR-K 31-6-6-1H</t>
  </si>
  <si>
    <t>AWAITING</t>
  </si>
  <si>
    <t>CHUCK NORRIS 1007 10-15 1MXH</t>
  </si>
  <si>
    <t>COMMERCE COMET 0707 2-11-1WH | RUNESTONE 0707 14-11-1MXH</t>
  </si>
  <si>
    <t>TRUMAN 28-6-6 4H &amp; 5H</t>
  </si>
  <si>
    <t>CARMEN 21-6-6 1H</t>
  </si>
  <si>
    <t>CAROLINE 1007 31-6-1MXH &amp; REDBUD -1007 25-1WH</t>
  </si>
  <si>
    <t>GRANT 0607 25-24-1WH</t>
  </si>
  <si>
    <t>Greenleaf 0707 27-34-3 1 MXH | Ralph Ellison 0707 27-22 1 WXHR</t>
  </si>
  <si>
    <t>HMB 1108 12-1-1MH | WATCH THIS 1208 36-1WH | WATCH THIS 1205 36-25 2MXH</t>
  </si>
  <si>
    <t>MICHAEL 0607 11-2-1WH</t>
  </si>
  <si>
    <t>WAYMAN TISDALE 0907 12-13-1MX</t>
  </si>
  <si>
    <t>MARK PRICE 1007 7-18 1WH | 2MXH | 3WXH (WEST)</t>
  </si>
  <si>
    <t>MARK PRICE 1007 7-18 4 MXH | 5 WXH (EAST)</t>
  </si>
  <si>
    <t>Mickey Mantle 1008 12-13 2 MXH, 3MXH, 4WXH</t>
  </si>
  <si>
    <t>Little Sahara 1107 26-23-4MXH | Little Sahara 1107 26-23-6MXH (EAST)</t>
  </si>
  <si>
    <t>SPIRO MOUNDS 1006 3-10-1MXH</t>
  </si>
  <si>
    <t>Black Mesa 0505 3-10-2MXH | Black Mesa 0505 3-10-3WXH</t>
  </si>
  <si>
    <t>Black Mesa 0505 3-10-4MXH | Black Mesa 0505 3-10-5WXH</t>
  </si>
  <si>
    <t>Great Plains 0505 4-9-2WXH | Great Plains 0505 4-9-3MXH | Great Plains 0505 4-9-4WXH</t>
  </si>
  <si>
    <t>LAUREN 0607 10-3-1MXH / WAGNER 0607 15-22-1WXH</t>
  </si>
  <si>
    <t>MOUNT SCOTT 1207 4-9-4WXH I MOUNT SCOTT 1207 4-9-5MXH (WEST)</t>
  </si>
  <si>
    <t>QUARTZ MOUNTAIN 0805 4-9-1WXH</t>
  </si>
  <si>
    <t>SCOTT 1, 4, 5 | TRUMAN-CARMEN 0606 28-21-1UMXH</t>
  </si>
  <si>
    <t>Broken Bow Lake 1208 21-16-4MXH</t>
  </si>
  <si>
    <t>CANNONBALL 1208 24-1WH &amp; 24-2MH</t>
  </si>
  <si>
    <t>JOHNSTON 4, 5 | VINITA 4, 5 (WEST)</t>
  </si>
  <si>
    <t>SAYONARA 1208 28-2MH</t>
  </si>
  <si>
    <t>Broken Bow Lake 1208 16-21-2WXH | Broken Bow Lake 1208 16-21-3MXH | Broken Bow 1208 16-21 1MXH (WEST)</t>
  </si>
  <si>
    <t>COWABUNGA EAST (2, 3, 4)</t>
  </si>
  <si>
    <t>COWBOYS 0707 26-35-1WXH | POKES 0707 26-23-1MXH</t>
  </si>
  <si>
    <t>Eddie Sutton 1108 9-16-1MXH | Eddie Sutton 1108 9-16-2WXH | Eddie Sutton 1108 9-16-3MXH</t>
  </si>
  <si>
    <t>Eddie Sutton 1108 9-16-4WXH | Eddie Sutton 1108 9-16-5MXH</t>
  </si>
  <si>
    <t>Golden Driller 0707 25-24-1WXH | Golden Driller 0707 25-24-2UMXH | Shockey 0707 36-1-2UMXH | Shockey 36-1-1 XH</t>
  </si>
  <si>
    <t>Gourley 1-16H</t>
  </si>
  <si>
    <t>JOHNSTON 1207 30-31-2MXH | JOHNSTON 1207 30-31-3MXH (EAST)</t>
  </si>
  <si>
    <t>MOUNT SCOTT 1207 4-9-2MXH</t>
  </si>
  <si>
    <t>Price Tower 1009 12-13-1WXH | Honey Creek 1008 7-18-1MXH</t>
  </si>
  <si>
    <t>Sooners 1412 29-32-1MXH</t>
  </si>
  <si>
    <t>Truman-Carmen 0606 28-21-1UMXH</t>
  </si>
  <si>
    <t>VINITA 1, 2, 3</t>
  </si>
  <si>
    <t>HICKMAN 1109 10-15-1MXH</t>
  </si>
  <si>
    <t>Little Sahara 1107 26-23-2MXH | Little Sahara 1107 26-23-3WXH (WEST)</t>
  </si>
  <si>
    <t>RHONDA 0807 33-4-1MH</t>
  </si>
  <si>
    <t>WHEELOCK 1106 33-1MH</t>
  </si>
  <si>
    <t>CATTLEMANS 1107 5-32 4 5 6 7</t>
  </si>
  <si>
    <t>CATTLEMANS 1207 32-5 2 3</t>
  </si>
  <si>
    <t>ROBERTS 0607 12-1-1MXH</t>
  </si>
  <si>
    <t>ROBERTS 0607 12-1-1MXH / TYLER 13-24-1XH PRODUCTION FACILITY</t>
  </si>
  <si>
    <t>YIPPI KI-YAY / OORAH 0805 PRODUCTION FACILITY</t>
  </si>
  <si>
    <t>LIBERTY VALANCE 0104 1-36-1MXH (SOLD)</t>
  </si>
  <si>
    <t>BLACK KETTLE 1207 PRODUCTION FACILITY</t>
  </si>
  <si>
    <t>HUNT 1207 27-22-2, 3, 4, 5, 6MXH (EAST)</t>
  </si>
  <si>
    <t>BLAZERS 0904 30-19-1WXH</t>
  </si>
  <si>
    <t>BUTCH CASSIDY 0103 28-21 1MXH (SOLD)</t>
  </si>
  <si>
    <t>DEER CREEK 1209 36-1-1MXH</t>
  </si>
  <si>
    <t>JOHN KEELING 0607 23-14 1WXH, JOYCE KEELING 0606 23-26 1WXH</t>
  </si>
  <si>
    <t>MICKEY MANTLE 1008 13-12 1WXH</t>
  </si>
  <si>
    <t>ROBERT KALSU 0806 23-14-1MXH / CLARA LUPER 0806 23-26-1WXH</t>
  </si>
  <si>
    <t>TOBY KEITH 1108 7-18-1MXH</t>
  </si>
  <si>
    <t>WILD BILL 0103-6-7 1MXH (SOLD)</t>
  </si>
  <si>
    <t>BILLY THE KID 0103 20-29-1MXH (SOLD)</t>
  </si>
  <si>
    <t>SKIRVIN 0203-6-7-1MXH (SOLD)</t>
  </si>
  <si>
    <t>Carter</t>
  </si>
  <si>
    <t>SUNDANCE KID 0104 23-26-1MXH (SOLD)</t>
  </si>
  <si>
    <t>Stephens</t>
  </si>
  <si>
    <t>THE DUKE 0104 23-14-1MXH (SOLD)</t>
  </si>
  <si>
    <t>AMERICAN BISON 1007 21-28-1MXH/RON HOWARD 1007 21-16-1MXH</t>
  </si>
  <si>
    <t>BROKEN BOW 1208 16-21-1MXH</t>
  </si>
  <si>
    <t>RED RIVER 1208 24-13-1MXH/2WXH/3MXH</t>
  </si>
  <si>
    <t>TENKILLER LAKE 1108 31-6-1MXH</t>
  </si>
  <si>
    <t>FLYCATCHER 1107 13-12 1MXH</t>
  </si>
  <si>
    <t>ROSA OKLAHOMA 0506 4-9 1WH</t>
  </si>
  <si>
    <t>GERONIMO 1207 6-4WH/5MH</t>
  </si>
  <si>
    <t>GUS MCCRAE 0104 21-16 1MH (SOLD)</t>
  </si>
  <si>
    <t>GUTHRIE 1207 6-7 1MXH/2WXK/3MXH</t>
  </si>
  <si>
    <t>LITTLE SAHARA 1107 23-26 1MXH / TURNER FALLS 1107 23-14 1MXH</t>
  </si>
  <si>
    <t>WATERMELON 0906 16-21 1MXH</t>
  </si>
  <si>
    <t>REBA MCENTIRE 1006 29-32 1MXH</t>
  </si>
  <si>
    <t>MOUNT SCOTT 1207 4-9 1MH / COWABUNGA 1207 3-10 1MXH</t>
  </si>
  <si>
    <t>ROMAN NOSE 1007 34-3 1MXH</t>
  </si>
  <si>
    <t>PAUL HARVEY 1108 10-15 1MXH / VINCE GILL 1108 10-3 1MXH</t>
  </si>
  <si>
    <t>JAMES ROSS 1108 11-2-1MXH / JOHNNY BENCH 1108 11-14-1MXH</t>
  </si>
  <si>
    <t>JON SNOW 0505 16-9 1WH</t>
  </si>
  <si>
    <t>SAM NOBLE 0907 2-11 1MXH</t>
  </si>
  <si>
    <t>BLACK MESA 0505 3-10 1WH / GREAT PLAINS 0505 4-9 1MH</t>
  </si>
  <si>
    <t>KIMBER 0707 17-20-1WH / HOLDEN 0707 16-21-1WH</t>
  </si>
  <si>
    <t>TROY AIKMAN  1007 30-19-1MH</t>
  </si>
  <si>
    <t>CORA MAE 0506 10-15-1MH</t>
  </si>
  <si>
    <t>JOHN PHILLIPS 0905 31-6 1MXH &amp; ROBBERS CAVE 0905 31-30 1WX</t>
  </si>
  <si>
    <t>WITT 0506 3-10 1 WH</t>
  </si>
  <si>
    <t>JACK SWAGGER 0606 29-1WHRS</t>
  </si>
  <si>
    <t>QUANAH PARKER 1107 18-7-1WXH</t>
  </si>
  <si>
    <t>SANDBASS 0806 4-33 1MH | PAYNE 0806 4-9-1MH</t>
  </si>
  <si>
    <t>JOHNSTON 31-12-7 1H</t>
  </si>
  <si>
    <t>GARTH BROOKS 1107 6-7-1MXH</t>
  </si>
  <si>
    <t>JAMES GARNER 0905 36-25-1MH</t>
  </si>
  <si>
    <t>WILL ROGERS 1007 22-15-1MH</t>
  </si>
  <si>
    <t>LANE 13-24-1XH</t>
  </si>
  <si>
    <t xml:space="preserve">TRUMAN 28-6-6-3H </t>
  </si>
  <si>
    <t>COOK 13-5-6 1H</t>
  </si>
  <si>
    <t>TRUMAN 28-6-6-1H</t>
  </si>
  <si>
    <t>ACADIAN 0806 11-2-1MH</t>
  </si>
  <si>
    <t>ASH 0807 36-1-1WH</t>
  </si>
  <si>
    <t>JUDAH 0807 17-20-1WH</t>
  </si>
  <si>
    <t>WOODHOUSE 7-1H</t>
  </si>
  <si>
    <t>CATTLEMANS 1107 5-32-1MH | SCISSORTAIL 1107 5-8-1MH</t>
  </si>
  <si>
    <t>CHARLES COE 1108 13-1MH</t>
  </si>
  <si>
    <t>FNA 1207 26-23-1WXH &amp; JIM THORPE 1207 24-25-1MH</t>
  </si>
  <si>
    <t>FIDDLE 1207 34-3-1WXH</t>
  </si>
  <si>
    <t>JAXON 8-5-1XH | JACK DAVID 9-4-1XH | KIMBER 0707 17-20 1MH | HOLDEN 0707 16-21 1WH</t>
  </si>
  <si>
    <t>BYERS 0806 10-3-1MH &amp; UNCOMPAHGRE 10-15-1MH</t>
  </si>
  <si>
    <t>CLEBURNE 4N7W 7-12X13H</t>
  </si>
  <si>
    <t>GARRARD 0805 2-1XXHW</t>
  </si>
  <si>
    <t>GERONIMO 1207 6-2MH</t>
  </si>
  <si>
    <t>HASTA 1206 23-1MH &amp; LA VISTA 1206 26-1WH</t>
  </si>
  <si>
    <t>SANDRA JEAN 1-34H</t>
  </si>
  <si>
    <t>BONZAI 1206 8-1MH</t>
  </si>
  <si>
    <t>BRANDON 12-5-6 1H</t>
  </si>
  <si>
    <t>LYNDA 26-23-1XH</t>
  </si>
  <si>
    <t>PAXTON 1-20H</t>
  </si>
  <si>
    <t>TOM HORN 3-7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</si>
</sst>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Calibri"/>
      <family val="2"/>
      <scheme val="minor"/>
    </font>
    <font>
      <sz val="10"/>
      <color rgb="FF9C57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u/>
      <sz val="11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444444"/>
      <name val="Calibri"/>
      <family val="2"/>
    </font>
    <font>
      <b/>
      <sz val="10"/>
      <color rgb="FFFF0000"/>
      <name val="Calibri"/>
      <family val="2"/>
      <scheme val="minor"/>
    </font>
    <font>
      <sz val="10"/>
      <name val="Roboto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 applyNumberFormat="0" applyBorder="0" applyAlignment="0" applyProtection="0"/>
    <xf numFmtId="0" fontId="5" fillId="2" borderId="0" applyNumberFormat="0" applyBorder="0" applyAlignment="0" applyProtection="0"/>
    <xf numFmtId="0" fontId="1" fillId="3" borderId="0" applyNumberFormat="0" applyBorder="0" applyAlignment="0" applyProtection="0"/>
    <xf numFmtId="0" fontId="11" fillId="0" borderId="0" applyNumberFormat="0" applyFill="0" applyBorder="0" applyAlignment="0" applyProtection="0"/>
    <xf numFmtId="0" fontId="3" fillId="4" borderId="0" applyNumberFormat="0" applyBorder="0" applyAlignment="0" applyProtection="0"/>
    <xf numFmtId="0" fontId="9" fillId="5" borderId="0" applyNumberFormat="0" applyBorder="0" applyAlignment="0" applyProtection="0"/>
    <xf numFmtId="0" fontId="2" fillId="6" borderId="0" applyNumberFormat="0" applyBorder="0" applyAlignment="0" applyProtection="0"/>
    <xf numFmtId="0" fontId="3" fillId="7" borderId="0" applyNumberFormat="0" applyBorder="0" applyAlignment="0" applyProtection="0"/>
    <xf numFmtId="0" fontId="16" fillId="8" borderId="0" applyNumberFormat="0" applyBorder="0" applyAlignment="0" applyProtection="0"/>
    <xf numFmtId="0" fontId="6" fillId="0" borderId="0"/>
  </cellStyleXfs>
  <cellXfs count="69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0" xfId="9" applyFont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 wrapText="1"/>
    </xf>
    <xf numFmtId="0" fontId="3" fillId="0" borderId="2" xfId="4" applyFill="1" applyBorder="1" applyAlignment="1">
      <alignment horizontal="center" vertical="center" wrapText="1"/>
    </xf>
    <xf numFmtId="0" fontId="9" fillId="6" borderId="4" xfId="6" applyFont="1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14" fontId="10" fillId="0" borderId="4" xfId="0" applyNumberFormat="1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14" fontId="11" fillId="0" borderId="4" xfId="3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left" vertical="center" wrapText="1"/>
    </xf>
    <xf numFmtId="14" fontId="9" fillId="5" borderId="4" xfId="5" applyNumberFormat="1" applyBorder="1" applyAlignment="1">
      <alignment horizontal="center" vertical="center" wrapText="1"/>
    </xf>
    <xf numFmtId="0" fontId="3" fillId="7" borderId="0" xfId="7" applyAlignment="1">
      <alignment vertical="center" wrapText="1"/>
    </xf>
    <xf numFmtId="0" fontId="2" fillId="6" borderId="4" xfId="6" applyBorder="1" applyAlignment="1">
      <alignment horizontal="left" vertical="center" wrapText="1"/>
    </xf>
    <xf numFmtId="0" fontId="2" fillId="6" borderId="5" xfId="6" applyBorder="1" applyAlignment="1">
      <alignment vertical="center"/>
    </xf>
    <xf numFmtId="14" fontId="2" fillId="6" borderId="4" xfId="6" applyNumberFormat="1" applyBorder="1" applyAlignment="1">
      <alignment horizontal="left" vertical="center" wrapText="1"/>
    </xf>
    <xf numFmtId="14" fontId="2" fillId="6" borderId="6" xfId="6" applyNumberFormat="1" applyBorder="1" applyAlignment="1">
      <alignment horizontal="left" vertical="center" wrapText="1"/>
    </xf>
    <xf numFmtId="14" fontId="2" fillId="6" borderId="4" xfId="6" applyNumberFormat="1" applyBorder="1" applyAlignment="1">
      <alignment horizontal="center" vertical="center" wrapText="1"/>
    </xf>
    <xf numFmtId="14" fontId="2" fillId="6" borderId="7" xfId="6" applyNumberFormat="1" applyBorder="1" applyAlignment="1">
      <alignment horizontal="left" vertical="center" wrapText="1"/>
    </xf>
    <xf numFmtId="14" fontId="2" fillId="6" borderId="5" xfId="6" applyNumberFormat="1" applyBorder="1" applyAlignment="1">
      <alignment horizontal="center" vertical="center" wrapText="1"/>
    </xf>
    <xf numFmtId="0" fontId="9" fillId="6" borderId="4" xfId="6" applyFont="1" applyBorder="1" applyAlignment="1">
      <alignment vertical="center"/>
    </xf>
    <xf numFmtId="14" fontId="9" fillId="6" borderId="4" xfId="6" applyNumberFormat="1" applyFont="1" applyBorder="1" applyAlignment="1">
      <alignment horizontal="left" vertical="center" wrapText="1"/>
    </xf>
    <xf numFmtId="14" fontId="9" fillId="6" borderId="4" xfId="6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left" vertical="center" wrapText="1"/>
    </xf>
    <xf numFmtId="14" fontId="12" fillId="0" borderId="4" xfId="0" applyNumberFormat="1" applyFont="1" applyBorder="1" applyAlignment="1">
      <alignment horizontal="left" vertical="center" wrapText="1"/>
    </xf>
    <xf numFmtId="14" fontId="2" fillId="5" borderId="4" xfId="5" applyNumberFormat="1" applyFont="1" applyBorder="1" applyAlignment="1">
      <alignment horizontal="center" vertical="center" wrapText="1"/>
    </xf>
    <xf numFmtId="0" fontId="2" fillId="6" borderId="4" xfId="6" applyBorder="1" applyAlignment="1">
      <alignment vertical="center"/>
    </xf>
    <xf numFmtId="0" fontId="5" fillId="2" borderId="4" xfId="1" applyBorder="1" applyAlignment="1">
      <alignment horizontal="left" vertical="center" wrapText="1"/>
    </xf>
    <xf numFmtId="0" fontId="5" fillId="2" borderId="4" xfId="1" applyBorder="1" applyAlignment="1">
      <alignment vertical="center"/>
    </xf>
    <xf numFmtId="14" fontId="5" fillId="2" borderId="4" xfId="1" applyNumberFormat="1" applyBorder="1" applyAlignment="1">
      <alignment horizontal="left" vertical="center" wrapText="1"/>
    </xf>
    <xf numFmtId="14" fontId="5" fillId="2" borderId="4" xfId="1" applyNumberFormat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left" vertical="center" wrapText="1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vertical="center" wrapText="1"/>
    </xf>
    <xf numFmtId="14" fontId="10" fillId="6" borderId="4" xfId="6" applyNumberFormat="1" applyFont="1" applyBorder="1" applyAlignment="1">
      <alignment horizontal="left" vertical="center" wrapText="1"/>
    </xf>
    <xf numFmtId="14" fontId="14" fillId="0" borderId="4" xfId="3" applyNumberFormat="1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left" vertical="center" wrapText="1"/>
    </xf>
    <xf numFmtId="0" fontId="5" fillId="2" borderId="4" xfId="1" applyBorder="1" applyAlignment="1">
      <alignment horizontal="left" vertical="center"/>
    </xf>
    <xf numFmtId="0" fontId="15" fillId="0" borderId="4" xfId="0" applyFont="1" applyBorder="1" applyAlignment="1">
      <alignment vertical="center" wrapText="1"/>
    </xf>
    <xf numFmtId="14" fontId="0" fillId="0" borderId="4" xfId="0" applyNumberFormat="1" applyBorder="1" applyAlignment="1">
      <alignment horizontal="center" vertical="center" wrapText="1"/>
    </xf>
    <xf numFmtId="0" fontId="1" fillId="3" borderId="4" xfId="2" applyBorder="1" applyAlignment="1">
      <alignment horizontal="left" vertical="center" wrapText="1"/>
    </xf>
    <xf numFmtId="0" fontId="5" fillId="2" borderId="4" xfId="1" applyBorder="1" applyAlignment="1">
      <alignment vertical="center" wrapText="1"/>
    </xf>
    <xf numFmtId="14" fontId="5" fillId="2" borderId="4" xfId="1" applyNumberFormat="1" applyBorder="1" applyAlignment="1">
      <alignment horizontal="left" vertical="center"/>
    </xf>
    <xf numFmtId="0" fontId="5" fillId="2" borderId="5" xfId="1" applyBorder="1" applyAlignment="1">
      <alignment horizontal="left" vertical="center" wrapText="1"/>
    </xf>
    <xf numFmtId="0" fontId="5" fillId="2" borderId="6" xfId="1" applyBorder="1" applyAlignment="1">
      <alignment horizontal="left" vertical="center" wrapText="1"/>
    </xf>
    <xf numFmtId="14" fontId="0" fillId="0" borderId="7" xfId="0" applyNumberFormat="1" applyBorder="1" applyAlignment="1">
      <alignment horizontal="left" vertical="center" wrapText="1"/>
    </xf>
    <xf numFmtId="14" fontId="12" fillId="0" borderId="8" xfId="0" applyNumberFormat="1" applyFont="1" applyBorder="1" applyAlignment="1">
      <alignment horizontal="left" vertical="center" wrapText="1"/>
    </xf>
    <xf numFmtId="14" fontId="12" fillId="0" borderId="9" xfId="0" applyNumberFormat="1" applyFont="1" applyBorder="1" applyAlignment="1">
      <alignment horizontal="left" vertical="center" wrapText="1"/>
    </xf>
    <xf numFmtId="14" fontId="2" fillId="5" borderId="5" xfId="5" applyNumberFormat="1" applyFont="1" applyBorder="1" applyAlignment="1">
      <alignment horizontal="center" vertical="center" wrapText="1"/>
    </xf>
    <xf numFmtId="14" fontId="2" fillId="7" borderId="4" xfId="7" applyNumberFormat="1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6" fillId="8" borderId="4" xfId="8" applyBorder="1" applyAlignment="1">
      <alignment horizontal="left" vertical="center" wrapText="1"/>
    </xf>
    <xf numFmtId="0" fontId="9" fillId="7" borderId="6" xfId="7" applyFont="1" applyBorder="1" applyAlignment="1">
      <alignment horizontal="left" vertical="center" wrapText="1"/>
    </xf>
    <xf numFmtId="0" fontId="9" fillId="7" borderId="6" xfId="7" applyFont="1" applyBorder="1" applyAlignment="1">
      <alignment vertical="center"/>
    </xf>
    <xf numFmtId="14" fontId="9" fillId="7" borderId="6" xfId="7" applyNumberFormat="1" applyFont="1" applyBorder="1" applyAlignment="1">
      <alignment horizontal="left" vertical="center" wrapText="1"/>
    </xf>
    <xf numFmtId="14" fontId="9" fillId="7" borderId="6" xfId="7" applyNumberFormat="1" applyFont="1" applyBorder="1" applyAlignment="1">
      <alignment horizontal="center" vertical="center" wrapText="1"/>
    </xf>
    <xf numFmtId="14" fontId="0" fillId="0" borderId="6" xfId="0" applyNumberFormat="1" applyBorder="1" applyAlignment="1">
      <alignment horizontal="left" vertical="center" wrapText="1"/>
    </xf>
    <xf numFmtId="14" fontId="2" fillId="7" borderId="6" xfId="7" applyNumberFormat="1" applyFont="1" applyBorder="1" applyAlignment="1">
      <alignment horizontal="left" vertical="center" wrapText="1"/>
    </xf>
    <xf numFmtId="14" fontId="12" fillId="0" borderId="6" xfId="0" applyNumberFormat="1" applyFont="1" applyBorder="1" applyAlignment="1">
      <alignment horizontal="left" vertical="center" wrapText="1"/>
    </xf>
    <xf numFmtId="14" fontId="2" fillId="5" borderId="6" xfId="5" applyNumberFormat="1" applyFont="1" applyBorder="1" applyAlignment="1">
      <alignment horizontal="center" vertical="center" wrapText="1"/>
    </xf>
  </cellXfs>
  <cellStyles count="10">
    <cellStyle name="20% - Accent5" xfId="8" builtinId="46"/>
    <cellStyle name="Accent1" xfId="4" builtinId="29"/>
    <cellStyle name="Accent3" xfId="5" builtinId="37"/>
    <cellStyle name="Accent4" xfId="6" builtinId="41"/>
    <cellStyle name="Accent5" xfId="7" builtinId="45"/>
    <cellStyle name="Good" xfId="1" builtinId="26"/>
    <cellStyle name="Neutral" xfId="2" builtinId="28"/>
    <cellStyle name="Normal" xfId="0" builtinId="0"/>
    <cellStyle name="Normal 4" xfId="9" xr:uid="{ECE6E317-10F9-D447-B59A-819CD14B197B}"/>
    <cellStyle name="Warning Text" xfId="3" builtinId="11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theme="5" tint="-0.24994659260841701"/>
      </font>
      <fill>
        <patternFill>
          <bgColor rgb="FFFEF1A4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4" formatCode="m/d/yyyy"/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9" formatCode="m/d/yy"/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m/d/yy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m/d/yy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m/d/yyyy"/>
      <alignment horizontal="left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164" formatCode="m/d/yyyy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numFmt numFmtId="164" formatCode="m/d/yyyy"/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numFmt numFmtId="164" formatCode="m/d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m/d/yyyy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m/d/yyyy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m/d/yy"/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m/d/yy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/>
        <bottom/>
      </border>
    </dxf>
    <dxf>
      <alignment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0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brown/AppData/Local/Microsoft/Windows/INetCache/Content.Outlook/SPU710F8/Camino%20BC%20Allocations%20Work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of Allocated Value"/>
      <sheetName val="Sheet2"/>
      <sheetName val="LEASE ALLOCATION"/>
      <sheetName val="Exhibit A-1 - Part I (CLR Edit)"/>
      <sheetName val="Exhibit A-2 (CLR Edit)"/>
      <sheetName val="Pugh Lease CNR Info"/>
      <sheetName val="Pugh Pivot"/>
      <sheetName val="LEASE ALLOCATION PIVOT"/>
      <sheetName val="BROKER ASSMTS"/>
      <sheetName val="SEC UNDEV+PDP ALLOCATION"/>
      <sheetName val="Exhibit A-1 -Part II (CLR Edit)"/>
      <sheetName val="SEC ALLOCATION PIVOT"/>
      <sheetName val="DD PROGRESS"/>
      <sheetName val="WDFD VALUE"/>
      <sheetName val="MISSVALUE"/>
      <sheetName val="CNEY SPGR VALUE"/>
      <sheetName val="PDP Value Per Section"/>
      <sheetName val="PDP Allocation from RD"/>
      <sheetName val="PDP Calculation per section"/>
      <sheetName val="1.24.23 PDP UPDATED"/>
      <sheetName val="CNR UNDEV Allocation"/>
      <sheetName val="CLR UNDEV Allocation"/>
      <sheetName val="NONOP UNDEV Allocation"/>
      <sheetName val="CNR UNDEV Oneline"/>
      <sheetName val="CLR UNDEV WI Oneline"/>
      <sheetName val="CLR UNDEV ORRI Oneline"/>
      <sheetName val="NONOP UNDEV Oneline"/>
      <sheetName val="Camino BC Allocations Workbo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Israel Hindman" id="{DC371B9F-22C3-274A-9776-1B8B3D0648F4}" userId="S::israel@baberenvironmental.com::cf7e1b10-2c06-4568-901a-da8b0af7607e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094916-B027-0F49-BEDE-E8681F29B46D}" name="SPCC_Table" displayName="SPCC_Table" ref="A1:P129" totalsRowShown="0" headerRowDxfId="37" dataDxfId="35" headerRowBorderDxfId="36" dataCellStyle="Normal">
  <autoFilter ref="A1:P129" xr:uid="{0E57F833-0A8E-4930-9CC1-0E77F648ED0E}"/>
  <sortState xmlns:xlrd2="http://schemas.microsoft.com/office/spreadsheetml/2017/richdata2" ref="A2:P129">
    <sortCondition descending="1" ref="K1:K129"/>
  </sortState>
  <tableColumns count="16">
    <tableColumn id="1" xr3:uid="{251895EE-4A81-A347-A755-4680A566F8BC}" name="Well Name" dataDxfId="34" totalsRowDxfId="33" dataCellStyle="Normal"/>
    <tableColumn id="50" xr3:uid="{A60429C6-DEB6-884F-A0E7-6E32CCC01733}" name="Photos Taken" dataDxfId="32" totalsRowDxfId="31"/>
    <tableColumn id="2" xr3:uid="{B60B1285-FFC9-4E4D-9464-F7C5F5C00393}" name="First Prod" dataDxfId="30" totalsRowDxfId="29" dataCellStyle="Normal"/>
    <tableColumn id="3" xr3:uid="{94B12967-98FA-C64C-987C-8A5069608B14}" name="Field Visit" dataDxfId="28" totalsRowDxfId="27" dataCellStyle="Normal"/>
    <tableColumn id="57" xr3:uid="{7CE8B325-3C79-EC45-AC10-E2D1C39CAAFA}" name="Estimated Oil BOPD" dataDxfId="26" totalsRowDxfId="25"/>
    <tableColumn id="23" xr3:uid="{3BF13B9B-845D-E247-8605-EF31D625C6F3}" name="PE Stamp Due Date_x000a_(&lt; 180 days of Initial Operation)" dataDxfId="24" totalsRowDxfId="23" dataCellStyle="Warning Text">
      <calculatedColumnFormula>IF(SPCC_Table[[#This Row],[First Prod]]="","",TEXT(C2+181,"M/dd/yy"))</calculatedColumnFormula>
    </tableColumn>
    <tableColumn id="47" xr3:uid="{F7467BEC-9C99-9D43-8377-E841FBB3648E}" name="Berm Depth / Height (Inches)" dataDxfId="22" totalsRowDxfId="21"/>
    <tableColumn id="24" xr3:uid="{70D4F418-87C5-E94A-83FD-63BC913EA3AC}" name="Berm Length" dataDxfId="20" totalsRowDxfId="19"/>
    <tableColumn id="26" xr3:uid="{47DAB906-5BB9-8B48-B028-42B2D9A8325F}" name="Berm Width" dataDxfId="18" totalsRowDxfId="17"/>
    <tableColumn id="54" xr3:uid="{856F901B-2653-AA4F-97B6-F8DFA5385E27}" name="Initial Inspection  Completed" dataDxfId="16" totalsRowDxfId="15"/>
    <tableColumn id="4" xr3:uid="{8D0CB0D2-E5F7-2546-AA49-2A715361F5E8}" name="PE Stamp Date" dataDxfId="14" totalsRowDxfId="13" dataCellStyle="Normal"/>
    <tableColumn id="55" xr3:uid="{C2F2837E-E4EC-794E-B7C5-65F9FE984FAB}" name="Camino_x000a_Signature Date" dataDxfId="12"/>
    <tableColumn id="56" xr3:uid="{E57C361F-85A7-164D-9939-4C4E3885E557}" name="Recertified Date" dataDxfId="11">
      <calculatedColumnFormula>SPCC_Table[[#This Row],[Recertification Due Date]]</calculatedColumnFormula>
    </tableColumn>
    <tableColumn id="49" xr3:uid="{95D333E6-0D88-8B43-8F42-AE43D200E2D9}" name="Recertification Due Date" dataDxfId="10" dataCellStyle="Normal">
      <calculatedColumnFormula>IF(SPCC_Table[[#This Row],[PE Stamp Date]]="","",IF(SPCC_Table[[#This Row],[Recertified Date]]="",SPCC_Table[[#This Row],[PE Stamp Date]]+(365*5),SPCC_Table[[#This Row],[Recertified Date]]+(365*5)))</calculatedColumnFormula>
    </tableColumn>
    <tableColumn id="51" xr3:uid="{58FD2DD1-2F79-E24E-8979-FDB0410B6052}" name="SPCC Status" dataDxfId="9" dataCellStyle="Accent3"/>
    <tableColumn id="9" xr3:uid="{F2891814-A263-394E-9ABF-B896237D429E}" name="County" dataDxfId="8" totalsRowDxfId="7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11-02T18:31:35.36" personId="{DC371B9F-22C3-274A-9776-1B8B3D0648F4}" id="{FF49915B-35BB-B04D-A513-AAE1FFB8EE73}">
    <text>On or before this date.</text>
  </threadedComment>
  <threadedComment ref="A8" dT="2025-04-08T17:10:34.60" personId="{DC371B9F-22C3-274A-9776-1B8B3D0648F4}" id="{D3FE0C4E-4A0E-8E45-A32E-173899FF133A}">
    <text>Awaiting for ground photos</text>
  </threadedComment>
  <threadedComment ref="A9" dT="2025-04-08T17:10:23.55" personId="{DC371B9F-22C3-274A-9776-1B8B3D0648F4}" id="{FDA4336C-BB06-F047-A73A-9C954920168A}">
    <text xml:space="preserve">Awaiting for ground photos
</text>
  </threadedComment>
  <threadedComment ref="A10" dT="2025-04-08T17:11:00.34" personId="{DC371B9F-22C3-274A-9776-1B8B3D0648F4}" id="{EA4E6DC4-E6DB-6548-A89E-6C162DA69469}">
    <text>Awaiting for ground photos</text>
  </threadedComment>
  <threadedComment ref="A11" dT="2025-04-08T17:10:52.99" personId="{DC371B9F-22C3-274A-9776-1B8B3D0648F4}" id="{0A221F5D-0651-E046-8515-9E6BA97BAAF9}">
    <text>Awaiting for ground photos</text>
  </threadedComment>
  <threadedComment ref="A13" dT="2025-04-08T17:10:43.98" personId="{DC371B9F-22C3-274A-9776-1B8B3D0648F4}" id="{E3492477-8BBE-7B44-B089-FAB40979CCFF}">
    <text>Awaiting for ground photos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1A96-785B-D64F-B3D1-5C88DBEE0ABE}">
  <dimension ref="A1:BB129"/>
  <sheetViews>
    <sheetView tabSelected="1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P5" sqref="P5"/>
    </sheetView>
  </sheetViews>
  <sheetFormatPr baseColWidth="10" defaultColWidth="9" defaultRowHeight="20.25" customHeight="1" x14ac:dyDescent="0.2"/>
  <cols>
    <col min="1" max="1" width="90.796875" style="1" customWidth="1"/>
    <col min="2" max="2" width="15.796875" style="1" customWidth="1"/>
    <col min="3" max="3" width="16" style="1" customWidth="1"/>
    <col min="4" max="4" width="26.59765625" style="2" customWidth="1"/>
    <col min="5" max="5" width="15.796875" style="1" customWidth="1"/>
    <col min="6" max="6" width="32" style="1" customWidth="1"/>
    <col min="7" max="7" width="17.19921875" style="1" customWidth="1"/>
    <col min="8" max="8" width="17" style="1" customWidth="1"/>
    <col min="9" max="9" width="12.59765625" style="1" customWidth="1"/>
    <col min="10" max="10" width="15.3984375" style="1" customWidth="1"/>
    <col min="11" max="11" width="19.59765625" style="1" customWidth="1"/>
    <col min="12" max="13" width="22" style="1" customWidth="1"/>
    <col min="14" max="14" width="18" style="1" customWidth="1"/>
    <col min="15" max="15" width="27.796875" style="1" customWidth="1"/>
    <col min="16" max="16" width="26" style="1" customWidth="1"/>
    <col min="17" max="16384" width="9" style="1"/>
  </cols>
  <sheetData>
    <row r="1" spans="1:16" ht="44.25" customHeight="1" thickTop="1" x14ac:dyDescent="0.2">
      <c r="A1" s="4" t="s">
        <v>2</v>
      </c>
      <c r="B1" s="5" t="s">
        <v>3</v>
      </c>
      <c r="C1" s="5" t="s">
        <v>4</v>
      </c>
      <c r="D1" s="6" t="s">
        <v>5</v>
      </c>
      <c r="E1" s="3" t="s">
        <v>6</v>
      </c>
      <c r="F1" s="7" t="s">
        <v>7</v>
      </c>
      <c r="G1" s="7" t="s">
        <v>8</v>
      </c>
      <c r="H1" s="8" t="s">
        <v>9</v>
      </c>
      <c r="I1" s="8" t="s">
        <v>10</v>
      </c>
      <c r="J1" s="9" t="s">
        <v>11</v>
      </c>
      <c r="K1" s="10" t="s">
        <v>12</v>
      </c>
      <c r="L1" s="11" t="s">
        <v>13</v>
      </c>
      <c r="M1" s="7" t="s">
        <v>14</v>
      </c>
      <c r="N1" s="7" t="s">
        <v>15</v>
      </c>
      <c r="O1" s="7" t="s">
        <v>16</v>
      </c>
      <c r="P1" s="12" t="s">
        <v>17</v>
      </c>
    </row>
    <row r="2" spans="1:16" s="20" customFormat="1" ht="20.25" customHeight="1" x14ac:dyDescent="0.2">
      <c r="A2" s="13" t="s">
        <v>18</v>
      </c>
      <c r="B2" s="14" t="s">
        <v>19</v>
      </c>
      <c r="C2" s="15">
        <v>45730</v>
      </c>
      <c r="D2" s="15">
        <v>45741</v>
      </c>
      <c r="E2" s="16">
        <v>1800</v>
      </c>
      <c r="F2" s="17" t="str">
        <f>IF(SPCC_Table[[#This Row],[First Prod]]="","",TEXT(C2+181,"M/dd/yy"))</f>
        <v>9/11/25</v>
      </c>
      <c r="G2" s="16">
        <v>27</v>
      </c>
      <c r="H2" s="16">
        <v>182</v>
      </c>
      <c r="I2" s="16">
        <v>48</v>
      </c>
      <c r="J2" s="16" t="s">
        <v>19</v>
      </c>
      <c r="K2" s="18">
        <v>45903</v>
      </c>
      <c r="L2" s="15"/>
      <c r="M2" s="15"/>
      <c r="N2" s="18">
        <f>IF(SPCC_Table[[#This Row],[PE Stamp Date]]="","",IF(SPCC_Table[[#This Row],[Recertified Date]]="",SPCC_Table[[#This Row],[PE Stamp Date]]+(365*5),SPCC_Table[[#This Row],[Recertified Date]]+(365*5)))</f>
        <v>47728</v>
      </c>
      <c r="O2" s="19" t="s">
        <v>20</v>
      </c>
      <c r="P2" s="16" t="s">
        <v>21</v>
      </c>
    </row>
    <row r="3" spans="1:16" s="20" customFormat="1" ht="20.25" customHeight="1" x14ac:dyDescent="0.2">
      <c r="A3" s="21" t="s">
        <v>22</v>
      </c>
      <c r="B3" s="22" t="s">
        <v>19</v>
      </c>
      <c r="C3" s="23">
        <v>43165</v>
      </c>
      <c r="D3" s="23">
        <v>45987</v>
      </c>
      <c r="E3" s="24"/>
      <c r="F3" s="25" t="str">
        <f>IF(SPCC_Table[[#This Row],[First Prod]]="","",TEXT(C3+181,"M/dd/yy"))</f>
        <v>9/03/18</v>
      </c>
      <c r="G3" s="21">
        <v>28.5</v>
      </c>
      <c r="H3" s="21">
        <v>85.5</v>
      </c>
      <c r="I3" s="21">
        <v>34.5</v>
      </c>
      <c r="J3" s="21" t="s">
        <v>19</v>
      </c>
      <c r="K3" s="23">
        <v>46026</v>
      </c>
      <c r="L3" s="26"/>
      <c r="M3" s="15"/>
      <c r="N3" s="18">
        <f>IF(SPCC_Table[[#This Row],[PE Stamp Date]]="","",IF(SPCC_Table[[#This Row],[Recertified Date]]="",SPCC_Table[[#This Row],[PE Stamp Date]]+(365*5),SPCC_Table[[#This Row],[Recertified Date]]+(365*5)))</f>
        <v>47851</v>
      </c>
      <c r="O3" s="27"/>
      <c r="P3" s="21" t="s">
        <v>1</v>
      </c>
    </row>
    <row r="4" spans="1:16" s="20" customFormat="1" ht="20.25" customHeight="1" x14ac:dyDescent="0.2">
      <c r="A4" s="21" t="s">
        <v>23</v>
      </c>
      <c r="B4" s="22" t="s">
        <v>19</v>
      </c>
      <c r="C4" s="23">
        <v>43191</v>
      </c>
      <c r="D4" s="23">
        <v>45990</v>
      </c>
      <c r="E4" s="24" t="s">
        <v>24</v>
      </c>
      <c r="F4" s="25" t="str">
        <f>IF(SPCC_Table[[#This Row],[First Prod]]="","",TEXT(C4+181,"M/dd/yy"))</f>
        <v>9/29/18</v>
      </c>
      <c r="G4" s="21">
        <v>27</v>
      </c>
      <c r="H4" s="21">
        <v>121</v>
      </c>
      <c r="I4" s="21">
        <v>46</v>
      </c>
      <c r="J4" s="21" t="s">
        <v>19</v>
      </c>
      <c r="K4" s="23">
        <v>46026</v>
      </c>
      <c r="L4" s="26"/>
      <c r="M4" s="15"/>
      <c r="N4" s="18">
        <f>IF(SPCC_Table[[#This Row],[PE Stamp Date]]="","",IF(SPCC_Table[[#This Row],[Recertified Date]]="",SPCC_Table[[#This Row],[PE Stamp Date]]+(365*5),SPCC_Table[[#This Row],[Recertified Date]]+(365*5)))</f>
        <v>47851</v>
      </c>
      <c r="O4" s="27" t="s">
        <v>20</v>
      </c>
      <c r="P4" s="21" t="s">
        <v>1</v>
      </c>
    </row>
    <row r="5" spans="1:16" s="31" customFormat="1" ht="20.25" customHeight="1" x14ac:dyDescent="0.2">
      <c r="A5" s="13" t="s">
        <v>25</v>
      </c>
      <c r="B5" s="28" t="s">
        <v>19</v>
      </c>
      <c r="C5" s="29">
        <v>45718</v>
      </c>
      <c r="D5" s="29">
        <v>45741</v>
      </c>
      <c r="E5" s="13">
        <v>1600</v>
      </c>
      <c r="F5" s="30" t="str">
        <f>IF(SPCC_Table[[#This Row],[First Prod]]="","",TEXT(C5+181,"M/dd/yy"))</f>
        <v>8/30/25</v>
      </c>
      <c r="G5" s="16">
        <v>27</v>
      </c>
      <c r="H5" s="16">
        <v>179</v>
      </c>
      <c r="I5" s="16">
        <v>46</v>
      </c>
      <c r="J5" s="16" t="s">
        <v>19</v>
      </c>
      <c r="K5" s="18">
        <v>45901</v>
      </c>
      <c r="L5" s="15"/>
      <c r="M5" s="15"/>
      <c r="N5" s="18">
        <f>IF(SPCC_Table[[#This Row],[PE Stamp Date]]="","",IF(SPCC_Table[[#This Row],[Recertified Date]]="",SPCC_Table[[#This Row],[PE Stamp Date]]+(365*5),SPCC_Table[[#This Row],[Recertified Date]]+(365*5)))</f>
        <v>47726</v>
      </c>
      <c r="O5" s="19" t="s">
        <v>20</v>
      </c>
      <c r="P5" s="16" t="s">
        <v>21</v>
      </c>
    </row>
    <row r="6" spans="1:16" s="31" customFormat="1" ht="20.25" customHeight="1" x14ac:dyDescent="0.2">
      <c r="A6" s="16" t="s">
        <v>26</v>
      </c>
      <c r="B6" s="14" t="s">
        <v>19</v>
      </c>
      <c r="C6" s="15">
        <v>45710</v>
      </c>
      <c r="D6" s="15">
        <v>45741</v>
      </c>
      <c r="E6" s="16">
        <v>1700</v>
      </c>
      <c r="F6" s="17" t="str">
        <f>IF(SPCC_Table[[#This Row],[First Prod]]="","",TEXT(C6+181,"M/dd/yy"))</f>
        <v>8/22/25</v>
      </c>
      <c r="G6" s="16">
        <v>27</v>
      </c>
      <c r="H6" s="16">
        <v>208</v>
      </c>
      <c r="I6" s="16">
        <v>44</v>
      </c>
      <c r="J6" s="16" t="s">
        <v>19</v>
      </c>
      <c r="K6" s="18">
        <v>45886</v>
      </c>
      <c r="L6" s="15"/>
      <c r="M6" s="15"/>
      <c r="N6" s="18">
        <f>IF(SPCC_Table[[#This Row],[PE Stamp Date]]="","",IF(SPCC_Table[[#This Row],[Recertified Date]]="",SPCC_Table[[#This Row],[PE Stamp Date]]+(365*5),SPCC_Table[[#This Row],[Recertified Date]]+(365*5)))</f>
        <v>47711</v>
      </c>
      <c r="O6" s="19"/>
      <c r="P6" s="16" t="s">
        <v>21</v>
      </c>
    </row>
    <row r="7" spans="1:16" s="31" customFormat="1" ht="20.25" customHeight="1" x14ac:dyDescent="0.2">
      <c r="A7" s="16" t="s">
        <v>27</v>
      </c>
      <c r="B7" s="14" t="s">
        <v>19</v>
      </c>
      <c r="C7" s="15">
        <v>45699</v>
      </c>
      <c r="D7" s="15">
        <v>45741</v>
      </c>
      <c r="E7" s="16">
        <v>2400</v>
      </c>
      <c r="F7" s="17" t="str">
        <f>IF(SPCC_Table[[#This Row],[First Prod]]="","",TEXT(C7+181,"M/dd/yy"))</f>
        <v>8/11/25</v>
      </c>
      <c r="G7" s="16">
        <v>27</v>
      </c>
      <c r="H7" s="16">
        <v>208</v>
      </c>
      <c r="I7" s="16">
        <v>44</v>
      </c>
      <c r="J7" s="16" t="s">
        <v>19</v>
      </c>
      <c r="K7" s="18">
        <v>45880</v>
      </c>
      <c r="L7" s="18"/>
      <c r="M7" s="18"/>
      <c r="N7" s="18">
        <f>IF(SPCC_Table[[#This Row],[PE Stamp Date]]="","",IF(SPCC_Table[[#This Row],[Recertified Date]]="",SPCC_Table[[#This Row],[PE Stamp Date]]+(365*5),SPCC_Table[[#This Row],[Recertified Date]]+(365*5)))</f>
        <v>47705</v>
      </c>
      <c r="O7" s="19"/>
      <c r="P7" s="32" t="s">
        <v>21</v>
      </c>
    </row>
    <row r="8" spans="1:16" s="31" customFormat="1" ht="20.25" customHeight="1" x14ac:dyDescent="0.2">
      <c r="A8" s="16" t="s">
        <v>28</v>
      </c>
      <c r="B8" s="14" t="s">
        <v>19</v>
      </c>
      <c r="C8" s="15">
        <v>43680</v>
      </c>
      <c r="D8" s="15"/>
      <c r="E8" s="16"/>
      <c r="F8" s="17" t="str">
        <f>IF(SPCC_Table[[#This Row],[First Prod]]="","",TEXT(C8+181,"M/dd/yy"))</f>
        <v>1/31/20</v>
      </c>
      <c r="G8" s="16"/>
      <c r="H8" s="16"/>
      <c r="I8" s="16"/>
      <c r="J8" s="16" t="s">
        <v>19</v>
      </c>
      <c r="K8" s="18">
        <v>45811</v>
      </c>
      <c r="L8" s="18"/>
      <c r="M8" s="33"/>
      <c r="N8" s="33">
        <f>IF(SPCC_Table[[#This Row],[PE Stamp Date]]="","",IF(SPCC_Table[[#This Row],[Recertified Date]]="",SPCC_Table[[#This Row],[PE Stamp Date]]+(365*5),SPCC_Table[[#This Row],[Recertified Date]]+(365*5)))</f>
        <v>47636</v>
      </c>
      <c r="O8" s="34" t="s">
        <v>20</v>
      </c>
      <c r="P8" s="16" t="s">
        <v>1</v>
      </c>
    </row>
    <row r="9" spans="1:16" s="31" customFormat="1" ht="20.25" customHeight="1" x14ac:dyDescent="0.2">
      <c r="A9" s="16" t="s">
        <v>29</v>
      </c>
      <c r="B9" s="14" t="s">
        <v>19</v>
      </c>
      <c r="C9" s="15">
        <v>42364</v>
      </c>
      <c r="D9" s="15"/>
      <c r="E9" s="16"/>
      <c r="F9" s="17" t="str">
        <f>IF(SPCC_Table[[#This Row],[First Prod]]="","",TEXT(C9+181,"M/dd/yy"))</f>
        <v>6/24/16</v>
      </c>
      <c r="G9" s="16"/>
      <c r="H9" s="16"/>
      <c r="I9" s="16"/>
      <c r="J9" s="16" t="s">
        <v>19</v>
      </c>
      <c r="K9" s="18">
        <v>45811</v>
      </c>
      <c r="L9" s="18"/>
      <c r="M9" s="33"/>
      <c r="N9" s="33">
        <f>IF(SPCC_Table[[#This Row],[PE Stamp Date]]="","",IF(SPCC_Table[[#This Row],[Recertified Date]]="",SPCC_Table[[#This Row],[PE Stamp Date]]+(365*5),SPCC_Table[[#This Row],[Recertified Date]]+(365*5)))</f>
        <v>47636</v>
      </c>
      <c r="O9" s="34"/>
      <c r="P9" s="16" t="s">
        <v>1</v>
      </c>
    </row>
    <row r="10" spans="1:16" ht="20.25" customHeight="1" x14ac:dyDescent="0.2">
      <c r="A10" s="16" t="s">
        <v>30</v>
      </c>
      <c r="B10" s="14" t="s">
        <v>19</v>
      </c>
      <c r="C10" s="15">
        <v>43150</v>
      </c>
      <c r="D10" s="15"/>
      <c r="E10" s="16"/>
      <c r="F10" s="17" t="str">
        <f>IF(SPCC_Table[[#This Row],[First Prod]]="","",TEXT(C10+181,"M/dd/yy"))</f>
        <v>8/19/18</v>
      </c>
      <c r="G10" s="16"/>
      <c r="H10" s="16"/>
      <c r="I10" s="16"/>
      <c r="J10" s="16" t="s">
        <v>19</v>
      </c>
      <c r="K10" s="18">
        <v>45804</v>
      </c>
      <c r="L10" s="18" t="s">
        <v>31</v>
      </c>
      <c r="M10" s="33">
        <v>45804</v>
      </c>
      <c r="N10" s="33">
        <f>IF(SPCC_Table[[#This Row],[PE Stamp Date]]="","",IF(SPCC_Table[[#This Row],[Recertified Date]]="",SPCC_Table[[#This Row],[PE Stamp Date]]+(365*5),SPCC_Table[[#This Row],[Recertified Date]]+(365*5)))</f>
        <v>47629</v>
      </c>
      <c r="O10" s="34" t="s">
        <v>0</v>
      </c>
      <c r="P10" s="16" t="s">
        <v>1</v>
      </c>
    </row>
    <row r="11" spans="1:16" ht="20.25" customHeight="1" x14ac:dyDescent="0.2">
      <c r="A11" s="16" t="s">
        <v>32</v>
      </c>
      <c r="B11" s="14" t="s">
        <v>19</v>
      </c>
      <c r="C11" s="15"/>
      <c r="D11" s="15"/>
      <c r="E11" s="16"/>
      <c r="F11" s="17" t="str">
        <f>IF(SPCC_Table[[#This Row],[First Prod]]="","",TEXT(C11+181,"M/dd/yy"))</f>
        <v/>
      </c>
      <c r="G11" s="16"/>
      <c r="H11" s="16"/>
      <c r="I11" s="16"/>
      <c r="J11" s="16" t="s">
        <v>19</v>
      </c>
      <c r="K11" s="18">
        <v>45804</v>
      </c>
      <c r="L11" s="18" t="s">
        <v>31</v>
      </c>
      <c r="M11" s="33">
        <v>45804</v>
      </c>
      <c r="N11" s="33">
        <f>IF(SPCC_Table[[#This Row],[PE Stamp Date]]="","",IF(SPCC_Table[[#This Row],[Recertified Date]]="",SPCC_Table[[#This Row],[PE Stamp Date]]+(365*5),SPCC_Table[[#This Row],[Recertified Date]]+(365*5)))</f>
        <v>47629</v>
      </c>
      <c r="O11" s="34" t="s">
        <v>0</v>
      </c>
      <c r="P11" s="16" t="s">
        <v>21</v>
      </c>
    </row>
    <row r="12" spans="1:16" ht="20.25" customHeight="1" x14ac:dyDescent="0.2">
      <c r="A12" s="13" t="s">
        <v>33</v>
      </c>
      <c r="B12" s="14" t="s">
        <v>19</v>
      </c>
      <c r="C12" s="15">
        <v>44974</v>
      </c>
      <c r="D12" s="15">
        <v>45076</v>
      </c>
      <c r="E12" s="13"/>
      <c r="F12" s="17" t="str">
        <f>IF(SPCC_Table[[#This Row],[First Prod]]="","",TEXT(C12+181,"M/dd/yy"))</f>
        <v>8/17/23</v>
      </c>
      <c r="G12" s="16">
        <v>26</v>
      </c>
      <c r="H12" s="16">
        <v>180</v>
      </c>
      <c r="I12" s="16">
        <v>55</v>
      </c>
      <c r="J12" s="16" t="s">
        <v>19</v>
      </c>
      <c r="K12" s="18">
        <v>45804</v>
      </c>
      <c r="L12" s="18" t="s">
        <v>31</v>
      </c>
      <c r="M12" s="33">
        <v>45804</v>
      </c>
      <c r="N12" s="33">
        <f>IF(SPCC_Table[[#This Row],[PE Stamp Date]]="","",IF(SPCC_Table[[#This Row],[Recertified Date]]="",SPCC_Table[[#This Row],[PE Stamp Date]]+(365*5),SPCC_Table[[#This Row],[Recertified Date]]+(365*5)))</f>
        <v>47629</v>
      </c>
      <c r="O12" s="34" t="s">
        <v>0</v>
      </c>
      <c r="P12" s="16"/>
    </row>
    <row r="13" spans="1:16" ht="20.25" customHeight="1" x14ac:dyDescent="0.2">
      <c r="A13" s="16" t="s">
        <v>34</v>
      </c>
      <c r="B13" s="14" t="s">
        <v>19</v>
      </c>
      <c r="C13" s="15">
        <v>43123</v>
      </c>
      <c r="D13" s="15"/>
      <c r="E13" s="16"/>
      <c r="F13" s="17" t="str">
        <f>IF(SPCC_Table[[#This Row],[First Prod]]="","",TEXT(C13+181,"M/dd/yy"))</f>
        <v>7/23/18</v>
      </c>
      <c r="G13" s="16"/>
      <c r="H13" s="16"/>
      <c r="I13" s="16"/>
      <c r="J13" s="16" t="s">
        <v>19</v>
      </c>
      <c r="K13" s="18">
        <v>45804</v>
      </c>
      <c r="L13" s="18" t="s">
        <v>31</v>
      </c>
      <c r="M13" s="33">
        <v>45804</v>
      </c>
      <c r="N13" s="33">
        <f>IF(SPCC_Table[[#This Row],[PE Stamp Date]]="","",IF(SPCC_Table[[#This Row],[Recertified Date]]="",SPCC_Table[[#This Row],[PE Stamp Date]]+(365*5),SPCC_Table[[#This Row],[Recertified Date]]+(365*5)))</f>
        <v>47629</v>
      </c>
      <c r="O13" s="34" t="s">
        <v>0</v>
      </c>
      <c r="P13" s="16" t="s">
        <v>1</v>
      </c>
    </row>
    <row r="14" spans="1:16" ht="20.25" customHeight="1" x14ac:dyDescent="0.2">
      <c r="A14" s="16" t="s">
        <v>35</v>
      </c>
      <c r="B14" s="14" t="s">
        <v>19</v>
      </c>
      <c r="C14" s="15">
        <v>42987</v>
      </c>
      <c r="D14" s="15"/>
      <c r="E14" s="16"/>
      <c r="F14" s="17" t="str">
        <f>IF(SPCC_Table[[#This Row],[First Prod]]="","",TEXT(C14+181,"M/dd/yy"))</f>
        <v>3/09/18</v>
      </c>
      <c r="G14" s="16"/>
      <c r="H14" s="16"/>
      <c r="I14" s="16"/>
      <c r="J14" s="16" t="s">
        <v>19</v>
      </c>
      <c r="K14" s="18">
        <v>45725</v>
      </c>
      <c r="L14" s="18" t="s">
        <v>31</v>
      </c>
      <c r="M14" s="33">
        <v>45725</v>
      </c>
      <c r="N14" s="33">
        <f>IF(SPCC_Table[[#This Row],[PE Stamp Date]]="","",IF(SPCC_Table[[#This Row],[Recertified Date]]="",SPCC_Table[[#This Row],[PE Stamp Date]]+(365*5),SPCC_Table[[#This Row],[Recertified Date]]+(365*5)))</f>
        <v>47550</v>
      </c>
      <c r="O14" s="34" t="s">
        <v>0</v>
      </c>
      <c r="P14" s="16" t="s">
        <v>1</v>
      </c>
    </row>
    <row r="15" spans="1:16" ht="20.25" customHeight="1" x14ac:dyDescent="0.2">
      <c r="A15" s="16" t="s">
        <v>36</v>
      </c>
      <c r="B15" s="14" t="s">
        <v>19</v>
      </c>
      <c r="C15" s="15">
        <v>43411</v>
      </c>
      <c r="D15" s="15"/>
      <c r="E15" s="16"/>
      <c r="F15" s="17" t="str">
        <f>IF(SPCC_Table[[#This Row],[First Prod]]="","",TEXT(C15+181,"M/dd/yy"))</f>
        <v>5/07/19</v>
      </c>
      <c r="G15" s="16"/>
      <c r="H15" s="16"/>
      <c r="I15" s="16"/>
      <c r="J15" s="16" t="s">
        <v>19</v>
      </c>
      <c r="K15" s="18">
        <v>45725</v>
      </c>
      <c r="L15" s="18" t="s">
        <v>31</v>
      </c>
      <c r="M15" s="33">
        <v>45725</v>
      </c>
      <c r="N15" s="33">
        <f>IF(SPCC_Table[[#This Row],[PE Stamp Date]]="","",IF(SPCC_Table[[#This Row],[Recertified Date]]="",SPCC_Table[[#This Row],[PE Stamp Date]]+(365*5),SPCC_Table[[#This Row],[Recertified Date]]+(365*5)))</f>
        <v>47550</v>
      </c>
      <c r="O15" s="34" t="s">
        <v>0</v>
      </c>
      <c r="P15" s="16" t="s">
        <v>1</v>
      </c>
    </row>
    <row r="16" spans="1:16" ht="20.25" customHeight="1" x14ac:dyDescent="0.2">
      <c r="A16" s="16" t="s">
        <v>37</v>
      </c>
      <c r="B16" s="14" t="s">
        <v>19</v>
      </c>
      <c r="C16" s="15">
        <v>43474</v>
      </c>
      <c r="D16" s="15"/>
      <c r="E16" s="16"/>
      <c r="F16" s="17" t="str">
        <f>IF(SPCC_Table[[#This Row],[First Prod]]="","",TEXT(C16+181,"M/dd/yy"))</f>
        <v>7/09/19</v>
      </c>
      <c r="G16" s="16"/>
      <c r="H16" s="16"/>
      <c r="I16" s="16"/>
      <c r="J16" s="16" t="s">
        <v>19</v>
      </c>
      <c r="K16" s="18">
        <v>45725</v>
      </c>
      <c r="L16" s="18" t="s">
        <v>31</v>
      </c>
      <c r="M16" s="33">
        <v>45725</v>
      </c>
      <c r="N16" s="33">
        <f>IF(SPCC_Table[[#This Row],[PE Stamp Date]]="","",IF(SPCC_Table[[#This Row],[Recertified Date]]="",SPCC_Table[[#This Row],[PE Stamp Date]]+(365*5),SPCC_Table[[#This Row],[Recertified Date]]+(365*5)))</f>
        <v>47550</v>
      </c>
      <c r="O16" s="34" t="s">
        <v>0</v>
      </c>
      <c r="P16" s="16" t="s">
        <v>1</v>
      </c>
    </row>
    <row r="17" spans="1:16" ht="20.25" customHeight="1" x14ac:dyDescent="0.2">
      <c r="A17" s="13" t="s">
        <v>38</v>
      </c>
      <c r="B17" s="35" t="s">
        <v>19</v>
      </c>
      <c r="C17" s="29">
        <v>45558</v>
      </c>
      <c r="D17" s="29">
        <v>45649</v>
      </c>
      <c r="E17" s="13"/>
      <c r="F17" s="30" t="str">
        <f>IF(SPCC_Table[[#This Row],[First Prod]]="","",TEXT(C17+181,"M/dd/yy"))</f>
        <v>3/23/25</v>
      </c>
      <c r="G17" s="36"/>
      <c r="H17" s="36"/>
      <c r="I17" s="36"/>
      <c r="J17" s="36"/>
      <c r="K17" s="18">
        <v>45725</v>
      </c>
      <c r="L17" s="18"/>
      <c r="M17" s="33"/>
      <c r="N17" s="33">
        <f>IF(SPCC_Table[[#This Row],[PE Stamp Date]]="","",IF(SPCC_Table[[#This Row],[Recertified Date]]="",SPCC_Table[[#This Row],[PE Stamp Date]]+(365*5),SPCC_Table[[#This Row],[Recertified Date]]+(365*5)))</f>
        <v>47550</v>
      </c>
      <c r="O17" s="34" t="s">
        <v>20</v>
      </c>
      <c r="P17" s="32"/>
    </row>
    <row r="18" spans="1:16" ht="20.25" customHeight="1" x14ac:dyDescent="0.2">
      <c r="A18" s="16" t="s">
        <v>39</v>
      </c>
      <c r="B18" s="14" t="s">
        <v>19</v>
      </c>
      <c r="C18" s="15">
        <v>43532</v>
      </c>
      <c r="D18" s="15"/>
      <c r="E18" s="16"/>
      <c r="F18" s="17" t="str">
        <f>IF(SPCC_Table[[#This Row],[First Prod]]="","",TEXT(C18+181,"M/dd/yy"))</f>
        <v>9/05/19</v>
      </c>
      <c r="G18" s="16"/>
      <c r="H18" s="16"/>
      <c r="I18" s="16"/>
      <c r="J18" s="16" t="s">
        <v>19</v>
      </c>
      <c r="K18" s="18">
        <v>45725</v>
      </c>
      <c r="L18" s="18" t="s">
        <v>31</v>
      </c>
      <c r="M18" s="33">
        <v>45725</v>
      </c>
      <c r="N18" s="33">
        <f>IF(SPCC_Table[[#This Row],[PE Stamp Date]]="","",IF(SPCC_Table[[#This Row],[Recertified Date]]="",SPCC_Table[[#This Row],[PE Stamp Date]]+(365*5),SPCC_Table[[#This Row],[Recertified Date]]+(365*5)))</f>
        <v>47550</v>
      </c>
      <c r="O18" s="34" t="s">
        <v>0</v>
      </c>
      <c r="P18" s="16" t="s">
        <v>21</v>
      </c>
    </row>
    <row r="19" spans="1:16" ht="20.25" customHeight="1" x14ac:dyDescent="0.2">
      <c r="A19" s="16" t="s">
        <v>40</v>
      </c>
      <c r="B19" s="14" t="s">
        <v>19</v>
      </c>
      <c r="C19" s="15">
        <v>43452</v>
      </c>
      <c r="D19" s="15"/>
      <c r="E19" s="16"/>
      <c r="F19" s="17" t="str">
        <f>IF(SPCC_Table[[#This Row],[First Prod]]="","",TEXT(C19+181,"M/dd/yy"))</f>
        <v>6/17/19</v>
      </c>
      <c r="G19" s="16"/>
      <c r="H19" s="16"/>
      <c r="I19" s="16"/>
      <c r="J19" s="16" t="s">
        <v>19</v>
      </c>
      <c r="K19" s="18">
        <v>45725</v>
      </c>
      <c r="L19" s="18" t="s">
        <v>31</v>
      </c>
      <c r="M19" s="33">
        <v>45725</v>
      </c>
      <c r="N19" s="33">
        <f>IF(SPCC_Table[[#This Row],[PE Stamp Date]]="","",IF(SPCC_Table[[#This Row],[Recertified Date]]="",SPCC_Table[[#This Row],[PE Stamp Date]]+(365*5),SPCC_Table[[#This Row],[Recertified Date]]+(365*5)))</f>
        <v>47550</v>
      </c>
      <c r="O19" s="34" t="s">
        <v>0</v>
      </c>
      <c r="P19" s="16" t="s">
        <v>1</v>
      </c>
    </row>
    <row r="20" spans="1:16" ht="27.75" customHeight="1" x14ac:dyDescent="0.2">
      <c r="A20" s="16" t="s">
        <v>41</v>
      </c>
      <c r="B20" s="14" t="s">
        <v>19</v>
      </c>
      <c r="C20" s="15"/>
      <c r="D20" s="15"/>
      <c r="E20" s="16"/>
      <c r="F20" s="17" t="str">
        <f>IF(SPCC_Table[[#This Row],[First Prod]]="","",TEXT(C20+181,"M/dd/yy"))</f>
        <v/>
      </c>
      <c r="G20" s="16"/>
      <c r="H20" s="16"/>
      <c r="I20" s="16"/>
      <c r="J20" s="16" t="s">
        <v>19</v>
      </c>
      <c r="K20" s="18">
        <v>45725</v>
      </c>
      <c r="L20" s="18" t="s">
        <v>31</v>
      </c>
      <c r="M20" s="33">
        <v>45725</v>
      </c>
      <c r="N20" s="33">
        <f>IF(SPCC_Table[[#This Row],[PE Stamp Date]]="","",IF(SPCC_Table[[#This Row],[Recertified Date]]="",SPCC_Table[[#This Row],[PE Stamp Date]]+(365*5),SPCC_Table[[#This Row],[Recertified Date]]+(365*5)))</f>
        <v>47550</v>
      </c>
      <c r="O20" s="34" t="s">
        <v>0</v>
      </c>
      <c r="P20" s="16" t="s">
        <v>21</v>
      </c>
    </row>
    <row r="21" spans="1:16" ht="45.75" customHeight="1" x14ac:dyDescent="0.2">
      <c r="A21" s="36" t="s">
        <v>42</v>
      </c>
      <c r="B21" s="37" t="s">
        <v>19</v>
      </c>
      <c r="C21" s="38">
        <v>45541</v>
      </c>
      <c r="D21" s="38">
        <v>45648</v>
      </c>
      <c r="E21" s="36"/>
      <c r="F21" s="39" t="str">
        <f>IF(SPCC_Table[[#This Row],[First Prod]]="","",TEXT(C21+181,"M/dd/yy"))</f>
        <v>3/06/25</v>
      </c>
      <c r="G21" s="36"/>
      <c r="H21" s="36"/>
      <c r="I21" s="36"/>
      <c r="J21" s="36"/>
      <c r="K21" s="18">
        <v>45722</v>
      </c>
      <c r="L21" s="18"/>
      <c r="M21" s="33"/>
      <c r="N21" s="33">
        <f>IF(SPCC_Table[[#This Row],[PE Stamp Date]]="","",IF(SPCC_Table[[#This Row],[Recertified Date]]="",SPCC_Table[[#This Row],[PE Stamp Date]]+(365*5),SPCC_Table[[#This Row],[Recertified Date]]+(365*5)))</f>
        <v>47547</v>
      </c>
      <c r="O21" s="34" t="s">
        <v>20</v>
      </c>
      <c r="P21" s="32"/>
    </row>
    <row r="22" spans="1:16" ht="20.25" customHeight="1" x14ac:dyDescent="0.2">
      <c r="A22" s="36" t="s">
        <v>43</v>
      </c>
      <c r="B22" s="37" t="s">
        <v>19</v>
      </c>
      <c r="C22" s="38">
        <v>45541</v>
      </c>
      <c r="D22" s="38">
        <v>45647</v>
      </c>
      <c r="E22" s="36"/>
      <c r="F22" s="39" t="str">
        <f>IF(SPCC_Table[[#This Row],[First Prod]]="","",TEXT(C22+181,"M/dd/yy"))</f>
        <v>3/06/25</v>
      </c>
      <c r="G22" s="36"/>
      <c r="H22" s="36"/>
      <c r="I22" s="36"/>
      <c r="J22" s="36"/>
      <c r="K22" s="18">
        <v>45722</v>
      </c>
      <c r="L22" s="18"/>
      <c r="M22" s="33"/>
      <c r="N22" s="33">
        <f>IF(SPCC_Table[[#This Row],[PE Stamp Date]]="","",IF(SPCC_Table[[#This Row],[Recertified Date]]="",SPCC_Table[[#This Row],[PE Stamp Date]]+(365*5),SPCC_Table[[#This Row],[Recertified Date]]+(365*5)))</f>
        <v>47547</v>
      </c>
      <c r="O22" s="34" t="s">
        <v>20</v>
      </c>
      <c r="P22" s="32"/>
    </row>
    <row r="23" spans="1:16" ht="20.25" customHeight="1" x14ac:dyDescent="0.2">
      <c r="A23" s="14" t="s">
        <v>44</v>
      </c>
      <c r="B23" s="14" t="s">
        <v>19</v>
      </c>
      <c r="C23" s="15">
        <v>45536</v>
      </c>
      <c r="D23" s="15">
        <v>45648</v>
      </c>
      <c r="E23" s="14"/>
      <c r="F23" s="17" t="str">
        <f>IF(SPCC_Table[[#This Row],[First Prod]]="","",TEXT(C23+181,"M/dd/yy"))</f>
        <v>3/01/25</v>
      </c>
      <c r="G23" s="16"/>
      <c r="H23" s="16"/>
      <c r="I23" s="16"/>
      <c r="J23" s="16"/>
      <c r="K23" s="18">
        <v>45714</v>
      </c>
      <c r="L23" s="18"/>
      <c r="M23" s="33"/>
      <c r="N23" s="33">
        <f>IF(SPCC_Table[[#This Row],[PE Stamp Date]]="","",IF(SPCC_Table[[#This Row],[Recertified Date]]="",SPCC_Table[[#This Row],[PE Stamp Date]]+(365*5),SPCC_Table[[#This Row],[Recertified Date]]+(365*5)))</f>
        <v>47539</v>
      </c>
      <c r="O23" s="34" t="s">
        <v>20</v>
      </c>
      <c r="P23" s="32"/>
    </row>
    <row r="24" spans="1:16" ht="20.25" customHeight="1" x14ac:dyDescent="0.2">
      <c r="A24" s="16" t="s">
        <v>45</v>
      </c>
      <c r="B24" s="14" t="s">
        <v>19</v>
      </c>
      <c r="C24" s="15">
        <v>44894</v>
      </c>
      <c r="D24" s="15">
        <v>45076</v>
      </c>
      <c r="E24" s="16"/>
      <c r="F24" s="17" t="str">
        <f>IF(SPCC_Table[[#This Row],[First Prod]]="","",TEXT(C24+181,"M/dd/yy"))</f>
        <v>5/29/23</v>
      </c>
      <c r="G24" s="40"/>
      <c r="H24" s="40"/>
      <c r="I24" s="40"/>
      <c r="J24" s="16" t="s">
        <v>19</v>
      </c>
      <c r="K24" s="18">
        <v>45589</v>
      </c>
      <c r="L24" s="18"/>
      <c r="M24" s="33"/>
      <c r="N24" s="33">
        <f>IF(SPCC_Table[[#This Row],[PE Stamp Date]]="","",IF(SPCC_Table[[#This Row],[Recertified Date]]="",SPCC_Table[[#This Row],[PE Stamp Date]]+(365*5),SPCC_Table[[#This Row],[Recertified Date]]+(365*5)))</f>
        <v>47414</v>
      </c>
      <c r="O24" s="34" t="s">
        <v>20</v>
      </c>
      <c r="P24" s="32"/>
    </row>
    <row r="25" spans="1:16" ht="20.25" customHeight="1" x14ac:dyDescent="0.2">
      <c r="A25" s="32" t="s">
        <v>46</v>
      </c>
      <c r="B25" s="14" t="s">
        <v>19</v>
      </c>
      <c r="C25" s="15">
        <v>44906</v>
      </c>
      <c r="D25" s="15">
        <v>44832</v>
      </c>
      <c r="E25" s="32"/>
      <c r="F25" s="17" t="str">
        <f>IF(SPCC_Table[[#This Row],[First Prod]]="","",TEXT(C25+181,"M/dd/yy"))</f>
        <v>6/10/23</v>
      </c>
      <c r="G25" s="16">
        <v>24</v>
      </c>
      <c r="H25" s="16">
        <v>170</v>
      </c>
      <c r="I25" s="16">
        <v>52</v>
      </c>
      <c r="J25" s="16" t="s">
        <v>19</v>
      </c>
      <c r="K25" s="18">
        <v>45589</v>
      </c>
      <c r="L25" s="18"/>
      <c r="M25" s="33"/>
      <c r="N25" s="33">
        <f>IF(SPCC_Table[[#This Row],[PE Stamp Date]]="","",IF(SPCC_Table[[#This Row],[Recertified Date]]="",SPCC_Table[[#This Row],[PE Stamp Date]]+(365*5),SPCC_Table[[#This Row],[Recertified Date]]+(365*5)))</f>
        <v>47414</v>
      </c>
      <c r="O25" s="34" t="s">
        <v>20</v>
      </c>
      <c r="P25" s="32"/>
    </row>
    <row r="26" spans="1:16" ht="20.25" customHeight="1" x14ac:dyDescent="0.2">
      <c r="A26" s="41" t="s">
        <v>47</v>
      </c>
      <c r="B26" s="14" t="s">
        <v>19</v>
      </c>
      <c r="C26" s="15">
        <v>45444</v>
      </c>
      <c r="D26" s="15">
        <v>45583</v>
      </c>
      <c r="E26" s="41"/>
      <c r="F26" s="17" t="str">
        <f>IF(SPCC_Table[[#This Row],[First Prod]]="","",TEXT(C26+181,"M/dd/yy"))</f>
        <v>11/29/24</v>
      </c>
      <c r="G26" s="16"/>
      <c r="H26" s="16"/>
      <c r="I26" s="16"/>
      <c r="J26" s="16" t="s">
        <v>19</v>
      </c>
      <c r="K26" s="18">
        <v>45587</v>
      </c>
      <c r="L26" s="18"/>
      <c r="M26" s="33"/>
      <c r="N26" s="33">
        <f>IF(SPCC_Table[[#This Row],[PE Stamp Date]]="","",IF(SPCC_Table[[#This Row],[Recertified Date]]="",SPCC_Table[[#This Row],[PE Stamp Date]]+(365*5),SPCC_Table[[#This Row],[Recertified Date]]+(365*5)))</f>
        <v>47412</v>
      </c>
      <c r="O26" s="34" t="s">
        <v>20</v>
      </c>
      <c r="P26" s="32"/>
    </row>
    <row r="27" spans="1:16" ht="20.25" customHeight="1" x14ac:dyDescent="0.2">
      <c r="A27" s="41" t="s">
        <v>48</v>
      </c>
      <c r="B27" s="14" t="s">
        <v>19</v>
      </c>
      <c r="C27" s="15">
        <v>45444</v>
      </c>
      <c r="D27" s="15">
        <v>45583</v>
      </c>
      <c r="E27" s="41"/>
      <c r="F27" s="17" t="str">
        <f>IF(SPCC_Table[[#This Row],[First Prod]]="","",TEXT(C27+181,"M/dd/yy"))</f>
        <v>11/29/24</v>
      </c>
      <c r="G27" s="16"/>
      <c r="H27" s="16"/>
      <c r="I27" s="16"/>
      <c r="J27" s="16" t="s">
        <v>19</v>
      </c>
      <c r="K27" s="18">
        <v>45587</v>
      </c>
      <c r="L27" s="18"/>
      <c r="M27" s="33"/>
      <c r="N27" s="33">
        <f>IF(SPCC_Table[[#This Row],[PE Stamp Date]]="","",IF(SPCC_Table[[#This Row],[Recertified Date]]="",SPCC_Table[[#This Row],[PE Stamp Date]]+(365*5),SPCC_Table[[#This Row],[Recertified Date]]+(365*5)))</f>
        <v>47412</v>
      </c>
      <c r="O27" s="34" t="s">
        <v>20</v>
      </c>
      <c r="P27" s="32"/>
    </row>
    <row r="28" spans="1:16" ht="37" customHeight="1" x14ac:dyDescent="0.2">
      <c r="A28" s="42" t="s">
        <v>49</v>
      </c>
      <c r="B28" s="14" t="s">
        <v>19</v>
      </c>
      <c r="C28" s="15">
        <v>45437</v>
      </c>
      <c r="D28" s="15"/>
      <c r="E28" s="41"/>
      <c r="F28" s="17" t="str">
        <f>IF(SPCC_Table[[#This Row],[First Prod]]="","",TEXT(C28+181,"M/dd/yy"))</f>
        <v>11/22/24</v>
      </c>
      <c r="G28" s="16"/>
      <c r="H28" s="16"/>
      <c r="I28" s="16"/>
      <c r="J28" s="16" t="s">
        <v>19</v>
      </c>
      <c r="K28" s="18">
        <v>45587</v>
      </c>
      <c r="L28" s="18"/>
      <c r="M28" s="33"/>
      <c r="N28" s="33">
        <f>IF(SPCC_Table[[#This Row],[PE Stamp Date]]="","",IF(SPCC_Table[[#This Row],[Recertified Date]]="",SPCC_Table[[#This Row],[PE Stamp Date]]+(365*5),SPCC_Table[[#This Row],[Recertified Date]]+(365*5)))</f>
        <v>47412</v>
      </c>
      <c r="O28" s="34" t="s">
        <v>20</v>
      </c>
      <c r="P28" s="32"/>
    </row>
    <row r="29" spans="1:16" ht="20.25" customHeight="1" x14ac:dyDescent="0.2">
      <c r="A29" s="13" t="s">
        <v>50</v>
      </c>
      <c r="B29" s="14" t="s">
        <v>19</v>
      </c>
      <c r="C29" s="15">
        <v>44939</v>
      </c>
      <c r="D29" s="15">
        <v>45009</v>
      </c>
      <c r="E29" s="13"/>
      <c r="F29" s="17" t="str">
        <f>IF(SPCC_Table[[#This Row],[First Prod]]="","",TEXT(C29+181,"M/dd/yy"))</f>
        <v>7/13/23</v>
      </c>
      <c r="G29" s="16">
        <v>26</v>
      </c>
      <c r="H29" s="16">
        <v>155</v>
      </c>
      <c r="I29" s="16">
        <v>57</v>
      </c>
      <c r="J29" s="16" t="s">
        <v>19</v>
      </c>
      <c r="K29" s="18">
        <v>45587</v>
      </c>
      <c r="L29" s="18"/>
      <c r="M29" s="33"/>
      <c r="N29" s="33">
        <f>IF(SPCC_Table[[#This Row],[PE Stamp Date]]="","",IF(SPCC_Table[[#This Row],[Recertified Date]]="",SPCC_Table[[#This Row],[PE Stamp Date]]+(365*5),SPCC_Table[[#This Row],[Recertified Date]]+(365*5)))</f>
        <v>47412</v>
      </c>
      <c r="O29" s="34" t="s">
        <v>20</v>
      </c>
      <c r="P29" s="32"/>
    </row>
    <row r="30" spans="1:16" ht="20.25" customHeight="1" x14ac:dyDescent="0.2">
      <c r="A30" s="16" t="s">
        <v>51</v>
      </c>
      <c r="B30" s="14" t="s">
        <v>19</v>
      </c>
      <c r="C30" s="15">
        <v>45372</v>
      </c>
      <c r="D30" s="15"/>
      <c r="E30" s="43"/>
      <c r="F30" s="44" t="str">
        <f>IF(SPCC_Table[[#This Row],[First Prod]]="","",TEXT(C30+181,"M/dd/yy"))</f>
        <v>9/18/24</v>
      </c>
      <c r="G30" s="16"/>
      <c r="H30" s="16"/>
      <c r="I30" s="16"/>
      <c r="J30" s="16" t="s">
        <v>19</v>
      </c>
      <c r="K30" s="18">
        <v>45587</v>
      </c>
      <c r="L30" s="15"/>
      <c r="M30" s="45"/>
      <c r="N30" s="33">
        <f>IF(SPCC_Table[[#This Row],[PE Stamp Date]]="","",IF(SPCC_Table[[#This Row],[Recertified Date]]="",SPCC_Table[[#This Row],[PE Stamp Date]]+(365*5),SPCC_Table[[#This Row],[Recertified Date]]+(365*5)))</f>
        <v>47412</v>
      </c>
      <c r="O30" s="34" t="s">
        <v>20</v>
      </c>
      <c r="P30" s="16" t="s">
        <v>21</v>
      </c>
    </row>
    <row r="31" spans="1:16" ht="20.25" customHeight="1" x14ac:dyDescent="0.2">
      <c r="A31" s="13" t="s">
        <v>52</v>
      </c>
      <c r="B31" s="14" t="s">
        <v>19</v>
      </c>
      <c r="C31" s="15">
        <v>44938</v>
      </c>
      <c r="D31" s="15">
        <v>45009</v>
      </c>
      <c r="E31" s="13"/>
      <c r="F31" s="17" t="str">
        <f>IF(SPCC_Table[[#This Row],[First Prod]]="","",TEXT(C31+181,"M/dd/yy"))</f>
        <v>7/12/23</v>
      </c>
      <c r="G31" s="16">
        <v>29</v>
      </c>
      <c r="H31" s="16">
        <v>171</v>
      </c>
      <c r="I31" s="16">
        <v>51</v>
      </c>
      <c r="J31" s="16" t="s">
        <v>19</v>
      </c>
      <c r="K31" s="18">
        <v>45587</v>
      </c>
      <c r="L31" s="18"/>
      <c r="M31" s="33"/>
      <c r="N31" s="33">
        <f>IF(SPCC_Table[[#This Row],[PE Stamp Date]]="","",IF(SPCC_Table[[#This Row],[Recertified Date]]="",SPCC_Table[[#This Row],[PE Stamp Date]]+(365*5),SPCC_Table[[#This Row],[Recertified Date]]+(365*5)))</f>
        <v>47412</v>
      </c>
      <c r="O31" s="34" t="s">
        <v>20</v>
      </c>
      <c r="P31" s="16"/>
    </row>
    <row r="32" spans="1:16" ht="20.25" customHeight="1" x14ac:dyDescent="0.2">
      <c r="A32" s="47" t="s">
        <v>53</v>
      </c>
      <c r="B32" s="28" t="s">
        <v>19</v>
      </c>
      <c r="C32" s="29">
        <v>45372</v>
      </c>
      <c r="D32" s="29">
        <v>45457</v>
      </c>
      <c r="E32" s="28"/>
      <c r="F32" s="30" t="str">
        <f>IF(SPCC_Table[[#This Row],[First Prod]]="","",TEXT(C32+181,"M/dd/yy"))</f>
        <v>9/18/24</v>
      </c>
      <c r="G32" s="21"/>
      <c r="H32" s="21"/>
      <c r="I32" s="21"/>
      <c r="J32" s="21" t="s">
        <v>19</v>
      </c>
      <c r="K32" s="18">
        <v>45587</v>
      </c>
      <c r="L32" s="18"/>
      <c r="M32" s="33"/>
      <c r="N32" s="33">
        <f>IF(SPCC_Table[[#This Row],[PE Stamp Date]]="","",IF(SPCC_Table[[#This Row],[Recertified Date]]="",SPCC_Table[[#This Row],[PE Stamp Date]]+(365*5),SPCC_Table[[#This Row],[Recertified Date]]+(365*5)))</f>
        <v>47412</v>
      </c>
      <c r="O32" s="34" t="s">
        <v>20</v>
      </c>
      <c r="P32" s="32"/>
    </row>
    <row r="33" spans="1:16" ht="20.25" customHeight="1" x14ac:dyDescent="0.2">
      <c r="A33" s="13" t="s">
        <v>54</v>
      </c>
      <c r="B33" s="14" t="s">
        <v>19</v>
      </c>
      <c r="C33" s="15">
        <v>45279</v>
      </c>
      <c r="D33" s="15">
        <v>45457</v>
      </c>
      <c r="E33" s="13"/>
      <c r="F33" s="17" t="str">
        <f>IF(SPCC_Table[[#This Row],[First Prod]]="","",TEXT(C33+181,"M/dd/yy"))</f>
        <v>6/17/24</v>
      </c>
      <c r="G33" s="16"/>
      <c r="H33" s="16"/>
      <c r="I33" s="16"/>
      <c r="J33" s="16" t="s">
        <v>19</v>
      </c>
      <c r="K33" s="18">
        <v>45518</v>
      </c>
      <c r="L33" s="18"/>
      <c r="M33" s="33"/>
      <c r="N33" s="33">
        <f>IF(SPCC_Table[[#This Row],[PE Stamp Date]]="","",IF(SPCC_Table[[#This Row],[Recertified Date]]="",SPCC_Table[[#This Row],[PE Stamp Date]]+(365*5),SPCC_Table[[#This Row],[Recertified Date]]+(365*5)))</f>
        <v>47343</v>
      </c>
      <c r="O33" s="34" t="s">
        <v>20</v>
      </c>
      <c r="P33" s="16"/>
    </row>
    <row r="34" spans="1:16" ht="20.25" customHeight="1" x14ac:dyDescent="0.2">
      <c r="A34" s="16" t="s">
        <v>55</v>
      </c>
      <c r="B34" s="14" t="s">
        <v>19</v>
      </c>
      <c r="C34" s="15">
        <v>42874</v>
      </c>
      <c r="D34" s="15"/>
      <c r="E34" s="16"/>
      <c r="F34" s="17" t="str">
        <f>IF(SPCC_Table[[#This Row],[First Prod]]="","",TEXT(C34+181,"M/dd/yy"))</f>
        <v>11/16/17</v>
      </c>
      <c r="G34" s="16"/>
      <c r="H34" s="16"/>
      <c r="I34" s="16"/>
      <c r="J34" s="16" t="s">
        <v>19</v>
      </c>
      <c r="K34" s="18">
        <v>45518</v>
      </c>
      <c r="L34" s="18"/>
      <c r="M34" s="33"/>
      <c r="N34" s="33">
        <f>IF(SPCC_Table[[#This Row],[PE Stamp Date]]="","",IF(SPCC_Table[[#This Row],[Recertified Date]]="",SPCC_Table[[#This Row],[PE Stamp Date]]+(365*5),SPCC_Table[[#This Row],[Recertified Date]]+(365*5)))</f>
        <v>47343</v>
      </c>
      <c r="O34" s="34" t="s">
        <v>20</v>
      </c>
      <c r="P34" s="16" t="s">
        <v>21</v>
      </c>
    </row>
    <row r="35" spans="1:16" ht="20.25" customHeight="1" x14ac:dyDescent="0.2">
      <c r="A35" s="13" t="s">
        <v>56</v>
      </c>
      <c r="B35" s="14" t="s">
        <v>19</v>
      </c>
      <c r="C35" s="18">
        <v>45331</v>
      </c>
      <c r="D35" s="18"/>
      <c r="E35" s="13"/>
      <c r="F35" s="48" t="str">
        <f>IF(SPCC_Table[[#This Row],[First Prod]]="","",TEXT(C35+181,"M/dd/yy"))</f>
        <v>8/08/24</v>
      </c>
      <c r="G35" s="32"/>
      <c r="H35" s="32"/>
      <c r="I35" s="32"/>
      <c r="J35" s="16" t="s">
        <v>19</v>
      </c>
      <c r="K35" s="18">
        <v>45518</v>
      </c>
      <c r="L35" s="18"/>
      <c r="M35" s="33"/>
      <c r="N35" s="33">
        <f>IF(SPCC_Table[[#This Row],[PE Stamp Date]]="","",IF(SPCC_Table[[#This Row],[Recertified Date]]="",SPCC_Table[[#This Row],[PE Stamp Date]]+(365*5),SPCC_Table[[#This Row],[Recertified Date]]+(365*5)))</f>
        <v>47343</v>
      </c>
      <c r="O35" s="34" t="s">
        <v>20</v>
      </c>
      <c r="P35" s="32"/>
    </row>
    <row r="36" spans="1:16" ht="20.25" customHeight="1" x14ac:dyDescent="0.2">
      <c r="A36" s="16" t="s">
        <v>57</v>
      </c>
      <c r="B36" s="14" t="s">
        <v>19</v>
      </c>
      <c r="C36" s="15">
        <v>43065</v>
      </c>
      <c r="D36" s="15"/>
      <c r="E36" s="16"/>
      <c r="F36" s="17" t="str">
        <f>IF(SPCC_Table[[#This Row],[First Prod]]="","",TEXT(C36+181,"M/dd/yy"))</f>
        <v>5/26/18</v>
      </c>
      <c r="G36" s="16"/>
      <c r="H36" s="16"/>
      <c r="I36" s="16"/>
      <c r="J36" s="16" t="s">
        <v>19</v>
      </c>
      <c r="K36" s="18">
        <v>45518</v>
      </c>
      <c r="L36" s="18"/>
      <c r="M36" s="33"/>
      <c r="N36" s="33">
        <f>IF(SPCC_Table[[#This Row],[PE Stamp Date]]="","",IF(SPCC_Table[[#This Row],[Recertified Date]]="",SPCC_Table[[#This Row],[PE Stamp Date]]+(365*5),SPCC_Table[[#This Row],[Recertified Date]]+(365*5)))</f>
        <v>47343</v>
      </c>
      <c r="O36" s="34"/>
      <c r="P36" s="16" t="s">
        <v>21</v>
      </c>
    </row>
    <row r="37" spans="1:16" ht="20.25" customHeight="1" x14ac:dyDescent="0.2">
      <c r="A37" s="13" t="s">
        <v>58</v>
      </c>
      <c r="B37" s="14" t="s">
        <v>19</v>
      </c>
      <c r="C37" s="15">
        <v>45278</v>
      </c>
      <c r="D37" s="15">
        <v>45457</v>
      </c>
      <c r="E37" s="13"/>
      <c r="F37" s="17" t="str">
        <f>IF(SPCC_Table[[#This Row],[First Prod]]="","",TEXT(C37+181,"M/dd/yy"))</f>
        <v>6/16/24</v>
      </c>
      <c r="G37" s="16"/>
      <c r="H37" s="16"/>
      <c r="I37" s="16"/>
      <c r="J37" s="16" t="s">
        <v>19</v>
      </c>
      <c r="K37" s="18">
        <v>45505</v>
      </c>
      <c r="L37" s="18"/>
      <c r="M37" s="33"/>
      <c r="N37" s="33">
        <f>IF(SPCC_Table[[#This Row],[PE Stamp Date]]="","",IF(SPCC_Table[[#This Row],[Recertified Date]]="",SPCC_Table[[#This Row],[PE Stamp Date]]+(365*5),SPCC_Table[[#This Row],[Recertified Date]]+(365*5)))</f>
        <v>47330</v>
      </c>
      <c r="O37" s="34" t="s">
        <v>20</v>
      </c>
      <c r="P37" s="16"/>
    </row>
    <row r="38" spans="1:16" ht="20.25" customHeight="1" x14ac:dyDescent="0.2">
      <c r="A38" s="13" t="s">
        <v>59</v>
      </c>
      <c r="B38" s="14" t="s">
        <v>19</v>
      </c>
      <c r="C38" s="15">
        <v>45378</v>
      </c>
      <c r="D38" s="15">
        <v>45471</v>
      </c>
      <c r="E38" s="13"/>
      <c r="F38" s="17" t="str">
        <f>IF(SPCC_Table[[#This Row],[First Prod]]="","",TEXT(C38+181,"M/dd/yy"))</f>
        <v>9/24/24</v>
      </c>
      <c r="G38" s="16"/>
      <c r="H38" s="16"/>
      <c r="I38" s="16"/>
      <c r="J38" s="16" t="s">
        <v>19</v>
      </c>
      <c r="K38" s="18">
        <v>45505</v>
      </c>
      <c r="L38" s="18"/>
      <c r="M38" s="33"/>
      <c r="N38" s="33">
        <f>IF(SPCC_Table[[#This Row],[PE Stamp Date]]="","",IF(SPCC_Table[[#This Row],[Recertified Date]]="",SPCC_Table[[#This Row],[PE Stamp Date]]+(365*5),SPCC_Table[[#This Row],[Recertified Date]]+(365*5)))</f>
        <v>47330</v>
      </c>
      <c r="O38" s="34" t="s">
        <v>20</v>
      </c>
      <c r="P38" s="16"/>
    </row>
    <row r="39" spans="1:16" ht="20.25" customHeight="1" x14ac:dyDescent="0.2">
      <c r="A39" s="13" t="s">
        <v>60</v>
      </c>
      <c r="B39" s="14" t="s">
        <v>19</v>
      </c>
      <c r="C39" s="15">
        <v>45070</v>
      </c>
      <c r="D39" s="15">
        <v>45166</v>
      </c>
      <c r="E39" s="13"/>
      <c r="F39" s="17" t="str">
        <f>IF(SPCC_Table[[#This Row],[First Prod]]="","",TEXT(C39+181,"M/dd/yy"))</f>
        <v>11/21/23</v>
      </c>
      <c r="G39" s="16"/>
      <c r="H39" s="16"/>
      <c r="I39" s="16"/>
      <c r="J39" s="16" t="s">
        <v>19</v>
      </c>
      <c r="K39" s="18">
        <v>45505</v>
      </c>
      <c r="L39" s="18"/>
      <c r="M39" s="33"/>
      <c r="N39" s="33">
        <f>IF(SPCC_Table[[#This Row],[PE Stamp Date]]="","",IF(SPCC_Table[[#This Row],[Recertified Date]]="",SPCC_Table[[#This Row],[PE Stamp Date]]+(365*5),SPCC_Table[[#This Row],[Recertified Date]]+(365*5)))</f>
        <v>47330</v>
      </c>
      <c r="O39" s="34" t="s">
        <v>20</v>
      </c>
      <c r="P39" s="16"/>
    </row>
    <row r="40" spans="1:16" ht="20.25" customHeight="1" x14ac:dyDescent="0.2">
      <c r="A40" s="13" t="s">
        <v>61</v>
      </c>
      <c r="B40" s="14" t="s">
        <v>19</v>
      </c>
      <c r="C40" s="15">
        <v>45147</v>
      </c>
      <c r="D40" s="15">
        <v>45195</v>
      </c>
      <c r="E40" s="13"/>
      <c r="F40" s="17" t="str">
        <f>IF(SPCC_Table[[#This Row],[First Prod]]="","",TEXT(C40+181,"M/dd/yy"))</f>
        <v>2/06/24</v>
      </c>
      <c r="G40" s="16"/>
      <c r="H40" s="16"/>
      <c r="I40" s="16"/>
      <c r="J40" s="16" t="s">
        <v>19</v>
      </c>
      <c r="K40" s="18">
        <v>45505</v>
      </c>
      <c r="L40" s="18"/>
      <c r="M40" s="33"/>
      <c r="N40" s="33">
        <f>IF(SPCC_Table[[#This Row],[PE Stamp Date]]="","",IF(SPCC_Table[[#This Row],[Recertified Date]]="",SPCC_Table[[#This Row],[PE Stamp Date]]+(365*5),SPCC_Table[[#This Row],[Recertified Date]]+(365*5)))</f>
        <v>47330</v>
      </c>
      <c r="O40" s="34" t="s">
        <v>20</v>
      </c>
      <c r="P40" s="16"/>
    </row>
    <row r="41" spans="1:16" ht="20.25" customHeight="1" x14ac:dyDescent="0.2">
      <c r="A41" s="13" t="s">
        <v>62</v>
      </c>
      <c r="B41" s="14" t="s">
        <v>19</v>
      </c>
      <c r="C41" s="15">
        <v>45147</v>
      </c>
      <c r="D41" s="15">
        <v>45195</v>
      </c>
      <c r="E41" s="13"/>
      <c r="F41" s="17" t="str">
        <f>IF(SPCC_Table[[#This Row],[First Prod]]="","",TEXT(C41+181,"M/dd/yy"))</f>
        <v>2/06/24</v>
      </c>
      <c r="G41" s="16"/>
      <c r="H41" s="16"/>
      <c r="I41" s="16"/>
      <c r="J41" s="16" t="s">
        <v>19</v>
      </c>
      <c r="K41" s="18">
        <v>45505</v>
      </c>
      <c r="L41" s="18"/>
      <c r="M41" s="33"/>
      <c r="N41" s="33">
        <f>IF(SPCC_Table[[#This Row],[PE Stamp Date]]="","",IF(SPCC_Table[[#This Row],[Recertified Date]]="",SPCC_Table[[#This Row],[PE Stamp Date]]+(365*5),SPCC_Table[[#This Row],[Recertified Date]]+(365*5)))</f>
        <v>47330</v>
      </c>
      <c r="O41" s="34" t="s">
        <v>20</v>
      </c>
      <c r="P41" s="16"/>
    </row>
    <row r="42" spans="1:16" ht="20.25" customHeight="1" x14ac:dyDescent="0.2">
      <c r="A42" s="13" t="s">
        <v>63</v>
      </c>
      <c r="B42" s="14" t="s">
        <v>19</v>
      </c>
      <c r="C42" s="15">
        <v>45094</v>
      </c>
      <c r="D42" s="15">
        <v>45195</v>
      </c>
      <c r="E42" s="13"/>
      <c r="F42" s="17" t="str">
        <f>IF(SPCC_Table[[#This Row],[First Prod]]="","",TEXT(C42+181,"M/dd/yy"))</f>
        <v>12/15/23</v>
      </c>
      <c r="G42" s="16"/>
      <c r="H42" s="16"/>
      <c r="I42" s="16"/>
      <c r="J42" s="16" t="s">
        <v>19</v>
      </c>
      <c r="K42" s="18">
        <v>45505</v>
      </c>
      <c r="L42" s="18"/>
      <c r="M42" s="33"/>
      <c r="N42" s="33">
        <f>IF(SPCC_Table[[#This Row],[PE Stamp Date]]="","",IF(SPCC_Table[[#This Row],[Recertified Date]]="",SPCC_Table[[#This Row],[PE Stamp Date]]+(365*5),SPCC_Table[[#This Row],[Recertified Date]]+(365*5)))</f>
        <v>47330</v>
      </c>
      <c r="O42" s="34" t="s">
        <v>20</v>
      </c>
      <c r="P42" s="16"/>
    </row>
    <row r="43" spans="1:16" ht="20.25" customHeight="1" x14ac:dyDescent="0.2">
      <c r="A43" s="13" t="s">
        <v>64</v>
      </c>
      <c r="B43" s="14" t="s">
        <v>19</v>
      </c>
      <c r="C43" s="15">
        <v>45278</v>
      </c>
      <c r="D43" s="15">
        <v>45457</v>
      </c>
      <c r="E43" s="13"/>
      <c r="F43" s="17" t="str">
        <f>IF(SPCC_Table[[#This Row],[First Prod]]="","",TEXT(C43+181,"M/dd/yy"))</f>
        <v>6/16/24</v>
      </c>
      <c r="G43" s="16">
        <v>24</v>
      </c>
      <c r="H43" s="16">
        <v>59.5</v>
      </c>
      <c r="I43" s="16">
        <v>27</v>
      </c>
      <c r="J43" s="16" t="s">
        <v>19</v>
      </c>
      <c r="K43" s="18">
        <v>45505</v>
      </c>
      <c r="L43" s="18"/>
      <c r="M43" s="33"/>
      <c r="N43" s="33">
        <f>IF(SPCC_Table[[#This Row],[PE Stamp Date]]="","",IF(SPCC_Table[[#This Row],[Recertified Date]]="",SPCC_Table[[#This Row],[PE Stamp Date]]+(365*5),SPCC_Table[[#This Row],[Recertified Date]]+(365*5)))</f>
        <v>47330</v>
      </c>
      <c r="O43" s="34" t="s">
        <v>20</v>
      </c>
      <c r="P43" s="16"/>
    </row>
    <row r="44" spans="1:16" ht="20.25" customHeight="1" x14ac:dyDescent="0.2">
      <c r="A44" s="13" t="s">
        <v>65</v>
      </c>
      <c r="B44" s="14" t="s">
        <v>19</v>
      </c>
      <c r="C44" s="15">
        <v>45328</v>
      </c>
      <c r="D44" s="15">
        <v>45457</v>
      </c>
      <c r="E44" s="13"/>
      <c r="F44" s="17" t="str">
        <f>IF(SPCC_Table[[#This Row],[First Prod]]="","",TEXT(C44+181,"M/dd/yy"))</f>
        <v>8/05/24</v>
      </c>
      <c r="G44" s="16">
        <v>168</v>
      </c>
      <c r="H44" s="16">
        <v>45</v>
      </c>
      <c r="I44" s="16">
        <v>27.5</v>
      </c>
      <c r="J44" s="16" t="s">
        <v>19</v>
      </c>
      <c r="K44" s="18">
        <v>45505</v>
      </c>
      <c r="L44" s="18"/>
      <c r="M44" s="33"/>
      <c r="N44" s="33">
        <f>IF(SPCC_Table[[#This Row],[PE Stamp Date]]="","",IF(SPCC_Table[[#This Row],[Recertified Date]]="",SPCC_Table[[#This Row],[PE Stamp Date]]+(365*5),SPCC_Table[[#This Row],[Recertified Date]]+(365*5)))</f>
        <v>47330</v>
      </c>
      <c r="O44" s="34" t="s">
        <v>20</v>
      </c>
      <c r="P44" s="16"/>
    </row>
    <row r="45" spans="1:16" ht="20.25" customHeight="1" x14ac:dyDescent="0.2">
      <c r="A45" s="13" t="s">
        <v>66</v>
      </c>
      <c r="B45" s="14" t="s">
        <v>19</v>
      </c>
      <c r="C45" s="15">
        <v>45374</v>
      </c>
      <c r="D45" s="15">
        <v>45471</v>
      </c>
      <c r="E45" s="13"/>
      <c r="F45" s="17" t="str">
        <f>IF(SPCC_Table[[#This Row],[First Prod]]="","",TEXT(C45+181,"M/dd/yy"))</f>
        <v>9/20/24</v>
      </c>
      <c r="G45" s="16"/>
      <c r="H45" s="16"/>
      <c r="I45" s="16"/>
      <c r="J45" s="16" t="s">
        <v>19</v>
      </c>
      <c r="K45" s="18">
        <v>45505</v>
      </c>
      <c r="L45" s="18"/>
      <c r="M45" s="33"/>
      <c r="N45" s="33">
        <f>IF(SPCC_Table[[#This Row],[PE Stamp Date]]="","",IF(SPCC_Table[[#This Row],[Recertified Date]]="",SPCC_Table[[#This Row],[PE Stamp Date]]+(365*5),SPCC_Table[[#This Row],[Recertified Date]]+(365*5)))</f>
        <v>47330</v>
      </c>
      <c r="O45" s="34" t="s">
        <v>20</v>
      </c>
      <c r="P45" s="16"/>
    </row>
    <row r="46" spans="1:16" ht="20.25" customHeight="1" x14ac:dyDescent="0.2">
      <c r="A46" s="13" t="s">
        <v>67</v>
      </c>
      <c r="B46" s="14" t="s">
        <v>19</v>
      </c>
      <c r="C46" s="15">
        <v>45104</v>
      </c>
      <c r="D46" s="15">
        <v>45195</v>
      </c>
      <c r="E46" s="13"/>
      <c r="F46" s="17" t="str">
        <f>IF(SPCC_Table[[#This Row],[First Prod]]="","",TEXT(C46+181,"M/dd/yy"))</f>
        <v>12/25/23</v>
      </c>
      <c r="G46" s="16"/>
      <c r="H46" s="16"/>
      <c r="I46" s="16"/>
      <c r="J46" s="16" t="s">
        <v>19</v>
      </c>
      <c r="K46" s="18">
        <v>45505</v>
      </c>
      <c r="L46" s="18"/>
      <c r="M46" s="33"/>
      <c r="N46" s="33">
        <f>IF(SPCC_Table[[#This Row],[PE Stamp Date]]="","",IF(SPCC_Table[[#This Row],[Recertified Date]]="",SPCC_Table[[#This Row],[PE Stamp Date]]+(365*5),SPCC_Table[[#This Row],[Recertified Date]]+(365*5)))</f>
        <v>47330</v>
      </c>
      <c r="O46" s="34" t="s">
        <v>20</v>
      </c>
      <c r="P46" s="16"/>
    </row>
    <row r="47" spans="1:16" ht="20.25" customHeight="1" x14ac:dyDescent="0.2">
      <c r="A47" s="13" t="s">
        <v>68</v>
      </c>
      <c r="B47" s="14" t="s">
        <v>19</v>
      </c>
      <c r="C47" s="15">
        <v>45019</v>
      </c>
      <c r="D47" s="15">
        <v>45166</v>
      </c>
      <c r="E47" s="13"/>
      <c r="F47" s="17" t="str">
        <f>IF(SPCC_Table[[#This Row],[First Prod]]="","",TEXT(C47+181,"M/dd/yy"))</f>
        <v>10/01/23</v>
      </c>
      <c r="G47" s="16">
        <v>25</v>
      </c>
      <c r="H47" s="16">
        <v>184</v>
      </c>
      <c r="I47" s="16">
        <v>53</v>
      </c>
      <c r="J47" s="16" t="s">
        <v>19</v>
      </c>
      <c r="K47" s="18">
        <v>45505</v>
      </c>
      <c r="L47" s="18"/>
      <c r="M47" s="33"/>
      <c r="N47" s="33">
        <f>IF(SPCC_Table[[#This Row],[PE Stamp Date]]="","",IF(SPCC_Table[[#This Row],[Recertified Date]]="",SPCC_Table[[#This Row],[PE Stamp Date]]+(365*5),SPCC_Table[[#This Row],[Recertified Date]]+(365*5)))</f>
        <v>47330</v>
      </c>
      <c r="O47" s="34" t="s">
        <v>20</v>
      </c>
      <c r="P47" s="16"/>
    </row>
    <row r="48" spans="1:16" ht="20.25" customHeight="1" x14ac:dyDescent="0.2">
      <c r="A48" s="13" t="s">
        <v>69</v>
      </c>
      <c r="B48" s="14" t="s">
        <v>19</v>
      </c>
      <c r="C48" s="15">
        <v>45174</v>
      </c>
      <c r="D48" s="15">
        <v>45322</v>
      </c>
      <c r="E48" s="13"/>
      <c r="F48" s="17" t="str">
        <f>IF(SPCC_Table[[#This Row],[First Prod]]="","",TEXT(C48+181,"M/dd/yy"))</f>
        <v>3/04/24</v>
      </c>
      <c r="G48" s="16"/>
      <c r="H48" s="16"/>
      <c r="I48" s="16"/>
      <c r="J48" s="16" t="s">
        <v>19</v>
      </c>
      <c r="K48" s="18">
        <v>45505</v>
      </c>
      <c r="L48" s="18"/>
      <c r="M48" s="33"/>
      <c r="N48" s="33">
        <f>IF(SPCC_Table[[#This Row],[PE Stamp Date]]="","",IF(SPCC_Table[[#This Row],[Recertified Date]]="",SPCC_Table[[#This Row],[PE Stamp Date]]+(365*5),SPCC_Table[[#This Row],[Recertified Date]]+(365*5)))</f>
        <v>47330</v>
      </c>
      <c r="O48" s="34" t="s">
        <v>20</v>
      </c>
      <c r="P48" s="16"/>
    </row>
    <row r="49" spans="1:16" ht="20.25" customHeight="1" x14ac:dyDescent="0.2">
      <c r="A49" s="16" t="s">
        <v>70</v>
      </c>
      <c r="B49" s="14" t="s">
        <v>19</v>
      </c>
      <c r="C49" s="15">
        <v>43385</v>
      </c>
      <c r="D49" s="15"/>
      <c r="E49" s="16"/>
      <c r="F49" s="17" t="str">
        <f>IF(SPCC_Table[[#This Row],[First Prod]]="","",TEXT(C49+181,"M/dd/yy"))</f>
        <v>4/11/19</v>
      </c>
      <c r="G49" s="16"/>
      <c r="H49" s="16"/>
      <c r="I49" s="16"/>
      <c r="J49" s="16" t="s">
        <v>19</v>
      </c>
      <c r="K49" s="18">
        <v>45505</v>
      </c>
      <c r="L49" s="18"/>
      <c r="M49" s="33"/>
      <c r="N49" s="33">
        <f>IF(SPCC_Table[[#This Row],[PE Stamp Date]]="","",IF(SPCC_Table[[#This Row],[Recertified Date]]="",SPCC_Table[[#This Row],[PE Stamp Date]]+(365*5),SPCC_Table[[#This Row],[Recertified Date]]+(365*5)))</f>
        <v>47330</v>
      </c>
      <c r="O49" s="34"/>
      <c r="P49" s="16" t="s">
        <v>21</v>
      </c>
    </row>
    <row r="50" spans="1:16" ht="20.25" customHeight="1" x14ac:dyDescent="0.2">
      <c r="A50" s="16" t="s">
        <v>71</v>
      </c>
      <c r="B50" s="14" t="s">
        <v>19</v>
      </c>
      <c r="C50" s="15">
        <v>44957</v>
      </c>
      <c r="D50" s="15">
        <v>45009</v>
      </c>
      <c r="E50" s="16"/>
      <c r="F50" s="17" t="str">
        <f>IF(SPCC_Table[[#This Row],[First Prod]]="","",TEXT(C50+181,"M/dd/yy"))</f>
        <v>7/31/23</v>
      </c>
      <c r="G50" s="16">
        <v>26</v>
      </c>
      <c r="H50" s="16">
        <v>175</v>
      </c>
      <c r="I50" s="16">
        <v>51</v>
      </c>
      <c r="J50" s="16" t="s">
        <v>19</v>
      </c>
      <c r="K50" s="18">
        <v>45163</v>
      </c>
      <c r="L50" s="18"/>
      <c r="M50" s="33"/>
      <c r="N50" s="33">
        <f>IF(SPCC_Table[[#This Row],[PE Stamp Date]]="","",IF(SPCC_Table[[#This Row],[Recertified Date]]="",SPCC_Table[[#This Row],[PE Stamp Date]]+(365*5),SPCC_Table[[#This Row],[Recertified Date]]+(365*5)))</f>
        <v>46988</v>
      </c>
      <c r="O50" s="34" t="s">
        <v>20</v>
      </c>
      <c r="P50" s="16"/>
    </row>
    <row r="51" spans="1:16" ht="20.25" customHeight="1" x14ac:dyDescent="0.2">
      <c r="A51" s="32" t="s">
        <v>72</v>
      </c>
      <c r="B51" s="14" t="s">
        <v>19</v>
      </c>
      <c r="C51" s="15">
        <v>44895</v>
      </c>
      <c r="D51" s="15">
        <v>45009</v>
      </c>
      <c r="E51" s="32"/>
      <c r="F51" s="17" t="str">
        <f>IF(SPCC_Table[[#This Row],[First Prod]]="","",TEXT(C51+181,"M/dd/yy"))</f>
        <v>5/30/23</v>
      </c>
      <c r="G51" s="16">
        <v>24</v>
      </c>
      <c r="H51" s="16">
        <v>70</v>
      </c>
      <c r="I51" s="16">
        <v>53</v>
      </c>
      <c r="J51" s="16" t="s">
        <v>19</v>
      </c>
      <c r="K51" s="18">
        <v>45163</v>
      </c>
      <c r="L51" s="18"/>
      <c r="M51" s="33"/>
      <c r="N51" s="33">
        <f>IF(SPCC_Table[[#This Row],[PE Stamp Date]]="","",IF(SPCC_Table[[#This Row],[Recertified Date]]="",SPCC_Table[[#This Row],[PE Stamp Date]]+(365*5),SPCC_Table[[#This Row],[Recertified Date]]+(365*5)))</f>
        <v>46988</v>
      </c>
      <c r="O51" s="34" t="s">
        <v>20</v>
      </c>
      <c r="P51" s="16"/>
    </row>
    <row r="52" spans="1:16" ht="20.25" customHeight="1" x14ac:dyDescent="0.2">
      <c r="A52" s="16" t="s">
        <v>73</v>
      </c>
      <c r="B52" s="14" t="s">
        <v>19</v>
      </c>
      <c r="C52" s="15">
        <v>44921</v>
      </c>
      <c r="D52" s="15">
        <v>45009</v>
      </c>
      <c r="E52" s="16"/>
      <c r="F52" s="17" t="str">
        <f>IF(SPCC_Table[[#This Row],[First Prod]]="","",TEXT(C52+181,"M/dd/yy"))</f>
        <v>6/25/23</v>
      </c>
      <c r="G52" s="16">
        <v>27</v>
      </c>
      <c r="H52" s="16">
        <v>180</v>
      </c>
      <c r="I52" s="16">
        <v>55</v>
      </c>
      <c r="J52" s="16" t="s">
        <v>19</v>
      </c>
      <c r="K52" s="18">
        <v>45163</v>
      </c>
      <c r="L52" s="18"/>
      <c r="M52" s="33"/>
      <c r="N52" s="33">
        <f>IF(SPCC_Table[[#This Row],[PE Stamp Date]]="","",IF(SPCC_Table[[#This Row],[Recertified Date]]="",SPCC_Table[[#This Row],[PE Stamp Date]]+(365*5),SPCC_Table[[#This Row],[Recertified Date]]+(365*5)))</f>
        <v>46988</v>
      </c>
      <c r="O52" s="34" t="s">
        <v>20</v>
      </c>
      <c r="P52" s="16"/>
    </row>
    <row r="53" spans="1:16" ht="20.25" customHeight="1" x14ac:dyDescent="0.2">
      <c r="A53" s="13" t="s">
        <v>74</v>
      </c>
      <c r="B53" s="28" t="s">
        <v>19</v>
      </c>
      <c r="C53" s="29">
        <v>44855</v>
      </c>
      <c r="D53" s="29">
        <v>45009</v>
      </c>
      <c r="E53" s="13"/>
      <c r="F53" s="17" t="str">
        <f>IF(SPCC_Table[[#This Row],[First Prod]]="","",TEXT(C53+181,"M/dd/yy"))</f>
        <v>4/20/23</v>
      </c>
      <c r="G53" s="21">
        <v>25</v>
      </c>
      <c r="H53" s="21">
        <v>175</v>
      </c>
      <c r="I53" s="21">
        <v>53</v>
      </c>
      <c r="J53" s="16" t="s">
        <v>19</v>
      </c>
      <c r="K53" s="18">
        <v>45163</v>
      </c>
      <c r="L53" s="18"/>
      <c r="M53" s="33"/>
      <c r="N53" s="33">
        <f>IF(SPCC_Table[[#This Row],[PE Stamp Date]]="","",IF(SPCC_Table[[#This Row],[Recertified Date]]="",SPCC_Table[[#This Row],[PE Stamp Date]]+(365*5),SPCC_Table[[#This Row],[Recertified Date]]+(365*5)))</f>
        <v>46988</v>
      </c>
      <c r="O53" s="34" t="s">
        <v>20</v>
      </c>
      <c r="P53" s="16"/>
    </row>
    <row r="54" spans="1:16" ht="20.25" customHeight="1" x14ac:dyDescent="0.2">
      <c r="A54" s="16" t="s">
        <v>75</v>
      </c>
      <c r="B54" s="36" t="s">
        <v>19</v>
      </c>
      <c r="C54" s="15">
        <v>44837</v>
      </c>
      <c r="D54" s="15">
        <v>45009</v>
      </c>
      <c r="E54" s="16"/>
      <c r="F54" s="17" t="str">
        <f>IF(SPCC_Table[[#This Row],[First Prod]]="","",TEXT(C54+181,"M/dd/yy"))</f>
        <v>4/02/23</v>
      </c>
      <c r="G54" s="16">
        <v>26</v>
      </c>
      <c r="H54" s="16">
        <v>94</v>
      </c>
      <c r="I54" s="16">
        <v>51</v>
      </c>
      <c r="J54" s="16" t="s">
        <v>19</v>
      </c>
      <c r="K54" s="18">
        <v>45016</v>
      </c>
      <c r="L54" s="18"/>
      <c r="M54" s="33"/>
      <c r="N54" s="33">
        <f>IF(SPCC_Table[[#This Row],[PE Stamp Date]]="","",IF(SPCC_Table[[#This Row],[Recertified Date]]="",SPCC_Table[[#This Row],[PE Stamp Date]]+(365*5),SPCC_Table[[#This Row],[Recertified Date]]+(365*5)))</f>
        <v>46841</v>
      </c>
      <c r="O54" s="34" t="s">
        <v>20</v>
      </c>
      <c r="P54" s="16"/>
    </row>
    <row r="55" spans="1:16" ht="20.25" customHeight="1" x14ac:dyDescent="0.2">
      <c r="A55" s="16" t="s">
        <v>76</v>
      </c>
      <c r="B55" s="36" t="s">
        <v>19</v>
      </c>
      <c r="C55" s="15">
        <v>44838</v>
      </c>
      <c r="D55" s="15">
        <v>45009</v>
      </c>
      <c r="E55" s="16"/>
      <c r="F55" s="17" t="str">
        <f>IF(SPCC_Table[[#This Row],[First Prod]]="","",TEXT(C55+181,"M/dd/yy"))</f>
        <v>4/03/23</v>
      </c>
      <c r="G55" s="16">
        <v>23</v>
      </c>
      <c r="H55" s="16">
        <v>215</v>
      </c>
      <c r="I55" s="16">
        <v>49</v>
      </c>
      <c r="J55" s="16" t="s">
        <v>19</v>
      </c>
      <c r="K55" s="18">
        <v>45016</v>
      </c>
      <c r="L55" s="18"/>
      <c r="M55" s="33"/>
      <c r="N55" s="33">
        <f>IF(SPCC_Table[[#This Row],[PE Stamp Date]]="","",IF(SPCC_Table[[#This Row],[Recertified Date]]="",SPCC_Table[[#This Row],[PE Stamp Date]]+(365*5),SPCC_Table[[#This Row],[Recertified Date]]+(365*5)))</f>
        <v>46841</v>
      </c>
      <c r="O55" s="34" t="s">
        <v>20</v>
      </c>
      <c r="P55" s="16"/>
    </row>
    <row r="56" spans="1:16" ht="20.25" customHeight="1" x14ac:dyDescent="0.2">
      <c r="A56" s="49" t="s">
        <v>77</v>
      </c>
      <c r="B56" s="36" t="s">
        <v>19</v>
      </c>
      <c r="C56" s="15">
        <v>44780</v>
      </c>
      <c r="D56" s="15">
        <v>44796</v>
      </c>
      <c r="E56" s="49"/>
      <c r="F56" s="17" t="str">
        <f>IF(SPCC_Table[[#This Row],[First Prod]]="","",TEXT(C56+181,"M/dd/yy"))</f>
        <v>2/04/23</v>
      </c>
      <c r="G56" s="16"/>
      <c r="H56" s="16"/>
      <c r="I56" s="16"/>
      <c r="J56" s="16" t="s">
        <v>19</v>
      </c>
      <c r="K56" s="18">
        <v>44959</v>
      </c>
      <c r="L56" s="18"/>
      <c r="M56" s="33"/>
      <c r="N56" s="33">
        <f>IF(SPCC_Table[[#This Row],[PE Stamp Date]]="","",IF(SPCC_Table[[#This Row],[Recertified Date]]="",SPCC_Table[[#This Row],[PE Stamp Date]]+(365*5),SPCC_Table[[#This Row],[Recertified Date]]+(365*5)))</f>
        <v>46784</v>
      </c>
      <c r="O56" s="34" t="s">
        <v>20</v>
      </c>
      <c r="P56" s="16"/>
    </row>
    <row r="57" spans="1:16" ht="20.25" customHeight="1" x14ac:dyDescent="0.2">
      <c r="A57" s="16" t="s">
        <v>78</v>
      </c>
      <c r="B57" s="14" t="s">
        <v>19</v>
      </c>
      <c r="C57" s="15">
        <v>43174</v>
      </c>
      <c r="D57" s="15"/>
      <c r="E57" s="16"/>
      <c r="F57" s="17" t="str">
        <f>IF(SPCC_Table[[#This Row],[First Prod]]="","",TEXT(C57+181,"M/dd/yy"))</f>
        <v>9/12/18</v>
      </c>
      <c r="G57" s="16"/>
      <c r="H57" s="16"/>
      <c r="I57" s="16"/>
      <c r="J57" s="16" t="s">
        <v>19</v>
      </c>
      <c r="K57" s="18">
        <v>44959</v>
      </c>
      <c r="L57" s="18"/>
      <c r="M57" s="33"/>
      <c r="N57" s="33">
        <f>IF(SPCC_Table[[#This Row],[PE Stamp Date]]="","",IF(SPCC_Table[[#This Row],[Recertified Date]]="",SPCC_Table[[#This Row],[PE Stamp Date]]+(365*5),SPCC_Table[[#This Row],[Recertified Date]]+(365*5)))</f>
        <v>46784</v>
      </c>
      <c r="O57" s="34" t="s">
        <v>20</v>
      </c>
      <c r="P57" s="16" t="s">
        <v>1</v>
      </c>
    </row>
    <row r="58" spans="1:16" ht="20.25" customHeight="1" x14ac:dyDescent="0.2">
      <c r="A58" s="16" t="s">
        <v>79</v>
      </c>
      <c r="B58" s="14" t="s">
        <v>19</v>
      </c>
      <c r="C58" s="15">
        <v>44779</v>
      </c>
      <c r="D58" s="15"/>
      <c r="E58" s="16"/>
      <c r="F58" s="17" t="str">
        <f>IF(SPCC_Table[[#This Row],[First Prod]]="","",TEXT(C58+181,"M/dd/yy"))</f>
        <v>2/03/23</v>
      </c>
      <c r="G58" s="16"/>
      <c r="H58" s="16"/>
      <c r="I58" s="16"/>
      <c r="J58" s="16" t="s">
        <v>19</v>
      </c>
      <c r="K58" s="18">
        <v>44959</v>
      </c>
      <c r="L58" s="18"/>
      <c r="M58" s="33"/>
      <c r="N58" s="33">
        <f>IF(SPCC_Table[[#This Row],[PE Stamp Date]]="","",IF(SPCC_Table[[#This Row],[Recertified Date]]="",SPCC_Table[[#This Row],[PE Stamp Date]]+(365*5),SPCC_Table[[#This Row],[Recertified Date]]+(365*5)))</f>
        <v>46784</v>
      </c>
      <c r="O58" s="34" t="s">
        <v>20</v>
      </c>
      <c r="P58" s="16" t="s">
        <v>1</v>
      </c>
    </row>
    <row r="59" spans="1:16" ht="20.25" customHeight="1" x14ac:dyDescent="0.2">
      <c r="A59" s="13" t="s">
        <v>80</v>
      </c>
      <c r="B59" s="36" t="s">
        <v>19</v>
      </c>
      <c r="C59" s="15">
        <v>0</v>
      </c>
      <c r="D59" s="15">
        <v>44796</v>
      </c>
      <c r="E59" s="13"/>
      <c r="F59" s="17" t="str">
        <f>IF(SPCC_Table[[#This Row],[First Prod]]="","",TEXT(C59+181,"M/dd/yy"))</f>
        <v>6/29/00</v>
      </c>
      <c r="G59" s="16">
        <v>27</v>
      </c>
      <c r="H59" s="16">
        <v>178</v>
      </c>
      <c r="I59" s="16">
        <v>52</v>
      </c>
      <c r="J59" s="16" t="s">
        <v>19</v>
      </c>
      <c r="K59" s="18">
        <v>44932</v>
      </c>
      <c r="L59" s="18"/>
      <c r="M59" s="33"/>
      <c r="N59" s="33">
        <f>IF(SPCC_Table[[#This Row],[PE Stamp Date]]="","",IF(SPCC_Table[[#This Row],[Recertified Date]]="",SPCC_Table[[#This Row],[PE Stamp Date]]+(365*5),SPCC_Table[[#This Row],[Recertified Date]]+(365*5)))</f>
        <v>46757</v>
      </c>
      <c r="O59" s="34" t="s">
        <v>20</v>
      </c>
      <c r="P59" s="16"/>
    </row>
    <row r="60" spans="1:16" ht="20.25" customHeight="1" x14ac:dyDescent="0.2">
      <c r="A60" s="16" t="s">
        <v>81</v>
      </c>
      <c r="B60" s="36" t="s">
        <v>19</v>
      </c>
      <c r="C60" s="15">
        <v>44739</v>
      </c>
      <c r="D60" s="15">
        <v>44796</v>
      </c>
      <c r="E60" s="16"/>
      <c r="F60" s="17" t="str">
        <f>IF(SPCC_Table[[#This Row],[First Prod]]="","",TEXT(C60+181,"M/dd/yy"))</f>
        <v>12/25/22</v>
      </c>
      <c r="G60" s="16">
        <v>27</v>
      </c>
      <c r="H60" s="16">
        <v>84.5</v>
      </c>
      <c r="I60" s="16">
        <v>55</v>
      </c>
      <c r="J60" s="16" t="s">
        <v>19</v>
      </c>
      <c r="K60" s="18">
        <v>44917</v>
      </c>
      <c r="L60" s="18"/>
      <c r="M60" s="33"/>
      <c r="N60" s="33">
        <f>IF(SPCC_Table[[#This Row],[PE Stamp Date]]="","",IF(SPCC_Table[[#This Row],[Recertified Date]]="",SPCC_Table[[#This Row],[PE Stamp Date]]+(365*5),SPCC_Table[[#This Row],[Recertified Date]]+(365*5)))</f>
        <v>46742</v>
      </c>
      <c r="O60" s="34" t="s">
        <v>20</v>
      </c>
      <c r="P60" s="16"/>
    </row>
    <row r="61" spans="1:16" ht="20.25" customHeight="1" x14ac:dyDescent="0.2">
      <c r="A61" s="16" t="s">
        <v>82</v>
      </c>
      <c r="B61" s="36" t="s">
        <v>19</v>
      </c>
      <c r="C61" s="15">
        <v>44709</v>
      </c>
      <c r="D61" s="15"/>
      <c r="E61" s="16"/>
      <c r="F61" s="17" t="str">
        <f>IF(SPCC_Table[[#This Row],[First Prod]]="","",TEXT(C61+181,"M/dd/yy"))</f>
        <v>11/25/22</v>
      </c>
      <c r="G61" s="16">
        <v>27</v>
      </c>
      <c r="H61" s="16">
        <v>88</v>
      </c>
      <c r="I61" s="16">
        <v>52</v>
      </c>
      <c r="J61" s="16" t="s">
        <v>19</v>
      </c>
      <c r="K61" s="18">
        <v>44888</v>
      </c>
      <c r="L61" s="18"/>
      <c r="M61" s="33"/>
      <c r="N61" s="33">
        <f>IF(SPCC_Table[[#This Row],[PE Stamp Date]]="","",IF(SPCC_Table[[#This Row],[Recertified Date]]="",SPCC_Table[[#This Row],[PE Stamp Date]]+(365*5),SPCC_Table[[#This Row],[Recertified Date]]+(365*5)))</f>
        <v>46713</v>
      </c>
      <c r="O61" s="34" t="s">
        <v>20</v>
      </c>
      <c r="P61" s="16"/>
    </row>
    <row r="62" spans="1:16" ht="20.25" customHeight="1" x14ac:dyDescent="0.2">
      <c r="A62" s="36" t="s">
        <v>83</v>
      </c>
      <c r="B62" s="36" t="s">
        <v>19</v>
      </c>
      <c r="C62" s="15">
        <v>44651</v>
      </c>
      <c r="D62" s="15">
        <v>44796</v>
      </c>
      <c r="E62" s="36"/>
      <c r="F62" s="17" t="str">
        <f>IF(SPCC_Table[[#This Row],[First Prod]]="","",TEXT(C62+181,"M/dd/yy"))</f>
        <v>9/28/22</v>
      </c>
      <c r="G62" s="16">
        <v>27</v>
      </c>
      <c r="H62" s="16">
        <v>122</v>
      </c>
      <c r="I62" s="16">
        <v>41.5</v>
      </c>
      <c r="J62" s="16" t="s">
        <v>19</v>
      </c>
      <c r="K62" s="18">
        <v>44873</v>
      </c>
      <c r="L62" s="18"/>
      <c r="M62" s="33"/>
      <c r="N62" s="33">
        <f>IF(SPCC_Table[[#This Row],[PE Stamp Date]]="","",IF(SPCC_Table[[#This Row],[Recertified Date]]="",SPCC_Table[[#This Row],[PE Stamp Date]]+(365*5),SPCC_Table[[#This Row],[Recertified Date]]+(365*5)))</f>
        <v>46698</v>
      </c>
      <c r="O62" s="34" t="s">
        <v>20</v>
      </c>
      <c r="P62" s="16"/>
    </row>
    <row r="63" spans="1:16" ht="20.25" customHeight="1" x14ac:dyDescent="0.2">
      <c r="A63" s="36" t="s">
        <v>84</v>
      </c>
      <c r="B63" s="36" t="s">
        <v>19</v>
      </c>
      <c r="C63" s="15">
        <v>44591</v>
      </c>
      <c r="D63" s="15">
        <v>44665</v>
      </c>
      <c r="E63" s="36"/>
      <c r="F63" s="17" t="str">
        <f>IF(SPCC_Table[[#This Row],[First Prod]]="","",TEXT(C63+181,"M/dd/yy"))</f>
        <v>7/30/22</v>
      </c>
      <c r="G63" s="16">
        <v>29</v>
      </c>
      <c r="H63" s="16">
        <v>165</v>
      </c>
      <c r="I63" s="16">
        <v>49</v>
      </c>
      <c r="J63" s="16" t="s">
        <v>19</v>
      </c>
      <c r="K63" s="18">
        <v>44873</v>
      </c>
      <c r="L63" s="18"/>
      <c r="M63" s="33"/>
      <c r="N63" s="33">
        <f>IF(SPCC_Table[[#This Row],[PE Stamp Date]]="","",IF(SPCC_Table[[#This Row],[Recertified Date]]="",SPCC_Table[[#This Row],[PE Stamp Date]]+(365*5),SPCC_Table[[#This Row],[Recertified Date]]+(365*5)))</f>
        <v>46698</v>
      </c>
      <c r="O63" s="34" t="s">
        <v>20</v>
      </c>
      <c r="P63" s="16"/>
    </row>
    <row r="64" spans="1:16" ht="20.25" customHeight="1" x14ac:dyDescent="0.2">
      <c r="A64" s="36" t="s">
        <v>85</v>
      </c>
      <c r="B64" s="36" t="s">
        <v>19</v>
      </c>
      <c r="C64" s="15">
        <v>44517</v>
      </c>
      <c r="D64" s="15">
        <v>44796</v>
      </c>
      <c r="E64" s="36"/>
      <c r="F64" s="17" t="str">
        <f>IF(SPCC_Table[[#This Row],[First Prod]]="","",TEXT(C64+181,"M/dd/yy"))</f>
        <v>5/17/22</v>
      </c>
      <c r="G64" s="16">
        <v>27</v>
      </c>
      <c r="H64" s="16">
        <v>170</v>
      </c>
      <c r="I64" s="16">
        <v>50</v>
      </c>
      <c r="J64" s="16" t="s">
        <v>19</v>
      </c>
      <c r="K64" s="18">
        <v>44873</v>
      </c>
      <c r="L64" s="18"/>
      <c r="M64" s="33"/>
      <c r="N64" s="33">
        <f>IF(SPCC_Table[[#This Row],[PE Stamp Date]]="","",IF(SPCC_Table[[#This Row],[Recertified Date]]="",SPCC_Table[[#This Row],[PE Stamp Date]]+(365*5),SPCC_Table[[#This Row],[Recertified Date]]+(365*5)))</f>
        <v>46698</v>
      </c>
      <c r="O64" s="34" t="s">
        <v>20</v>
      </c>
      <c r="P64" s="16"/>
    </row>
    <row r="65" spans="1:16" ht="20.25" customHeight="1" x14ac:dyDescent="0.2">
      <c r="A65" s="36" t="s">
        <v>86</v>
      </c>
      <c r="B65" s="36" t="s">
        <v>19</v>
      </c>
      <c r="C65" s="15">
        <v>44579</v>
      </c>
      <c r="D65" s="15">
        <v>44796</v>
      </c>
      <c r="E65" s="36"/>
      <c r="F65" s="17" t="str">
        <f>IF(SPCC_Table[[#This Row],[First Prod]]="","",TEXT(C65+181,"M/dd/yy"))</f>
        <v>7/18/22</v>
      </c>
      <c r="G65" s="16"/>
      <c r="H65" s="16"/>
      <c r="I65" s="16"/>
      <c r="J65" s="16" t="s">
        <v>19</v>
      </c>
      <c r="K65" s="18">
        <v>44873</v>
      </c>
      <c r="L65" s="18"/>
      <c r="M65" s="33"/>
      <c r="N65" s="33">
        <f>IF(SPCC_Table[[#This Row],[PE Stamp Date]]="","",IF(SPCC_Table[[#This Row],[Recertified Date]]="",SPCC_Table[[#This Row],[PE Stamp Date]]+(365*5),SPCC_Table[[#This Row],[Recertified Date]]+(365*5)))</f>
        <v>46698</v>
      </c>
      <c r="O65" s="34" t="s">
        <v>20</v>
      </c>
      <c r="P65" s="16"/>
    </row>
    <row r="66" spans="1:16" ht="20.25" customHeight="1" x14ac:dyDescent="0.2">
      <c r="A66" s="36" t="s">
        <v>87</v>
      </c>
      <c r="B66" s="36" t="s">
        <v>19</v>
      </c>
      <c r="C66" s="15">
        <v>44538</v>
      </c>
      <c r="D66" s="15">
        <v>44796</v>
      </c>
      <c r="E66" s="36"/>
      <c r="F66" s="17" t="str">
        <f>IF(SPCC_Table[[#This Row],[First Prod]]="","",TEXT(C66+181,"M/dd/yy"))</f>
        <v>6/07/22</v>
      </c>
      <c r="G66" s="16">
        <v>28</v>
      </c>
      <c r="H66" s="16">
        <v>175</v>
      </c>
      <c r="I66" s="16">
        <v>50</v>
      </c>
      <c r="J66" s="16" t="s">
        <v>19</v>
      </c>
      <c r="K66" s="18">
        <v>44873</v>
      </c>
      <c r="L66" s="18"/>
      <c r="M66" s="33"/>
      <c r="N66" s="33">
        <f>IF(SPCC_Table[[#This Row],[PE Stamp Date]]="","",IF(SPCC_Table[[#This Row],[Recertified Date]]="",SPCC_Table[[#This Row],[PE Stamp Date]]+(365*5),SPCC_Table[[#This Row],[Recertified Date]]+(365*5)))</f>
        <v>46698</v>
      </c>
      <c r="O66" s="34" t="s">
        <v>20</v>
      </c>
      <c r="P66" s="16"/>
    </row>
    <row r="67" spans="1:16" ht="20.25" customHeight="1" x14ac:dyDescent="0.2">
      <c r="A67" s="36" t="s">
        <v>88</v>
      </c>
      <c r="B67" s="36" t="s">
        <v>19</v>
      </c>
      <c r="C67" s="15">
        <v>44619</v>
      </c>
      <c r="D67" s="15">
        <v>44665</v>
      </c>
      <c r="E67" s="36"/>
      <c r="F67" s="17" t="str">
        <f>IF(SPCC_Table[[#This Row],[First Prod]]="","",TEXT(C67+181,"M/dd/yy"))</f>
        <v>8/27/22</v>
      </c>
      <c r="G67" s="16">
        <v>28</v>
      </c>
      <c r="H67" s="16">
        <v>140</v>
      </c>
      <c r="I67" s="16">
        <v>48</v>
      </c>
      <c r="J67" s="16" t="s">
        <v>19</v>
      </c>
      <c r="K67" s="18">
        <v>44873</v>
      </c>
      <c r="L67" s="18"/>
      <c r="M67" s="33"/>
      <c r="N67" s="33">
        <f>IF(SPCC_Table[[#This Row],[PE Stamp Date]]="","",IF(SPCC_Table[[#This Row],[Recertified Date]]="",SPCC_Table[[#This Row],[PE Stamp Date]]+(365*5),SPCC_Table[[#This Row],[Recertified Date]]+(365*5)))</f>
        <v>46698</v>
      </c>
      <c r="O67" s="34" t="s">
        <v>20</v>
      </c>
      <c r="P67" s="16"/>
    </row>
    <row r="68" spans="1:16" ht="20.25" customHeight="1" x14ac:dyDescent="0.2">
      <c r="A68" s="36" t="s">
        <v>89</v>
      </c>
      <c r="B68" s="36" t="s">
        <v>19</v>
      </c>
      <c r="C68" s="15">
        <v>44627</v>
      </c>
      <c r="D68" s="15">
        <v>44796</v>
      </c>
      <c r="E68" s="36"/>
      <c r="F68" s="17" t="str">
        <f>IF(SPCC_Table[[#This Row],[First Prod]]="","",TEXT(C68+181,"M/dd/yy"))</f>
        <v>9/04/22</v>
      </c>
      <c r="G68" s="16">
        <v>28</v>
      </c>
      <c r="H68" s="16">
        <v>177.5</v>
      </c>
      <c r="I68" s="16">
        <v>51</v>
      </c>
      <c r="J68" s="16" t="s">
        <v>19</v>
      </c>
      <c r="K68" s="18">
        <v>44873</v>
      </c>
      <c r="L68" s="18"/>
      <c r="M68" s="33"/>
      <c r="N68" s="33">
        <f>IF(SPCC_Table[[#This Row],[PE Stamp Date]]="","",IF(SPCC_Table[[#This Row],[Recertified Date]]="",SPCC_Table[[#This Row],[PE Stamp Date]]+(365*5),SPCC_Table[[#This Row],[Recertified Date]]+(365*5)))</f>
        <v>46698</v>
      </c>
      <c r="O68" s="34" t="s">
        <v>20</v>
      </c>
      <c r="P68" s="16"/>
    </row>
    <row r="69" spans="1:16" ht="20.25" customHeight="1" x14ac:dyDescent="0.2">
      <c r="A69" s="50" t="s">
        <v>90</v>
      </c>
      <c r="B69" s="36" t="s">
        <v>19</v>
      </c>
      <c r="C69" s="15">
        <v>44522</v>
      </c>
      <c r="D69" s="15">
        <v>44665</v>
      </c>
      <c r="E69" s="50"/>
      <c r="F69" s="17" t="str">
        <f>IF(SPCC_Table[[#This Row],[First Prod]]="","",TEXT(C69+181,"M/dd/yy"))</f>
        <v>5/22/22</v>
      </c>
      <c r="G69" s="16">
        <v>28</v>
      </c>
      <c r="H69" s="16">
        <v>175</v>
      </c>
      <c r="I69" s="16">
        <v>51</v>
      </c>
      <c r="J69" s="16" t="s">
        <v>19</v>
      </c>
      <c r="K69" s="18">
        <v>44873</v>
      </c>
      <c r="L69" s="18"/>
      <c r="M69" s="33"/>
      <c r="N69" s="33">
        <f>IF(SPCC_Table[[#This Row],[PE Stamp Date]]="","",IF(SPCC_Table[[#This Row],[Recertified Date]]="",SPCC_Table[[#This Row],[PE Stamp Date]]+(365*5),SPCC_Table[[#This Row],[Recertified Date]]+(365*5)))</f>
        <v>46698</v>
      </c>
      <c r="O69" s="34" t="s">
        <v>20</v>
      </c>
      <c r="P69" s="16"/>
    </row>
    <row r="70" spans="1:16" ht="20.25" customHeight="1" x14ac:dyDescent="0.2">
      <c r="A70" s="36" t="s">
        <v>91</v>
      </c>
      <c r="B70" s="36" t="s">
        <v>19</v>
      </c>
      <c r="C70" s="38">
        <v>44494</v>
      </c>
      <c r="D70" s="38">
        <v>44665</v>
      </c>
      <c r="E70" s="36"/>
      <c r="F70" s="17" t="str">
        <f>IF(SPCC_Table[[#This Row],[First Prod]]="","",TEXT(C70+181,"M/dd/yy"))</f>
        <v>4/24/22</v>
      </c>
      <c r="G70" s="36"/>
      <c r="H70" s="36"/>
      <c r="I70" s="36"/>
      <c r="J70" s="16" t="s">
        <v>19</v>
      </c>
      <c r="K70" s="18">
        <v>44673</v>
      </c>
      <c r="L70" s="18"/>
      <c r="M70" s="33"/>
      <c r="N70" s="33">
        <f>IF(SPCC_Table[[#This Row],[PE Stamp Date]]="","",IF(SPCC_Table[[#This Row],[Recertified Date]]="",SPCC_Table[[#This Row],[PE Stamp Date]]+(365*5),SPCC_Table[[#This Row],[Recertified Date]]+(365*5)))</f>
        <v>46498</v>
      </c>
      <c r="O70" s="34" t="s">
        <v>20</v>
      </c>
      <c r="P70" s="36"/>
    </row>
    <row r="71" spans="1:16" ht="33" customHeight="1" x14ac:dyDescent="0.2">
      <c r="A71" s="36" t="s">
        <v>92</v>
      </c>
      <c r="B71" s="36" t="s">
        <v>19</v>
      </c>
      <c r="C71" s="38">
        <v>44454</v>
      </c>
      <c r="D71" s="38"/>
      <c r="E71" s="36"/>
      <c r="F71" s="17" t="str">
        <f>IF(SPCC_Table[[#This Row],[First Prod]]="","",TEXT(C71+181,"M/dd/yy"))</f>
        <v>3/15/22</v>
      </c>
      <c r="G71" s="36"/>
      <c r="H71" s="36"/>
      <c r="I71" s="36"/>
      <c r="J71" s="16" t="s">
        <v>19</v>
      </c>
      <c r="K71" s="18">
        <v>44607</v>
      </c>
      <c r="L71" s="18"/>
      <c r="M71" s="33"/>
      <c r="N71" s="33">
        <f>IF(SPCC_Table[[#This Row],[PE Stamp Date]]="","",IF(SPCC_Table[[#This Row],[Recertified Date]]="",SPCC_Table[[#This Row],[PE Stamp Date]]+(365*5),SPCC_Table[[#This Row],[Recertified Date]]+(365*5)))</f>
        <v>46432</v>
      </c>
      <c r="O71" s="34" t="s">
        <v>20</v>
      </c>
      <c r="P71" s="36" t="s">
        <v>93</v>
      </c>
    </row>
    <row r="72" spans="1:16" ht="20.25" customHeight="1" x14ac:dyDescent="0.2">
      <c r="A72" s="36" t="s">
        <v>94</v>
      </c>
      <c r="B72" s="36" t="s">
        <v>19</v>
      </c>
      <c r="C72" s="38">
        <v>44379</v>
      </c>
      <c r="D72" s="38"/>
      <c r="E72" s="36"/>
      <c r="F72" s="17" t="str">
        <f>IF(SPCC_Table[[#This Row],[First Prod]]="","",TEXT(C72+181,"M/dd/yy"))</f>
        <v>12/30/21</v>
      </c>
      <c r="G72" s="36"/>
      <c r="H72" s="36"/>
      <c r="I72" s="36"/>
      <c r="J72" s="16" t="s">
        <v>19</v>
      </c>
      <c r="K72" s="18">
        <v>44559</v>
      </c>
      <c r="L72" s="18"/>
      <c r="M72" s="33"/>
      <c r="N72" s="33">
        <f>IF(SPCC_Table[[#This Row],[PE Stamp Date]]="","",IF(SPCC_Table[[#This Row],[Recertified Date]]="",SPCC_Table[[#This Row],[PE Stamp Date]]+(365*5),SPCC_Table[[#This Row],[Recertified Date]]+(365*5)))</f>
        <v>46384</v>
      </c>
      <c r="O72" s="34" t="s">
        <v>20</v>
      </c>
      <c r="P72" s="36" t="s">
        <v>95</v>
      </c>
    </row>
    <row r="73" spans="1:16" ht="20.25" customHeight="1" x14ac:dyDescent="0.2">
      <c r="A73" s="36" t="s">
        <v>96</v>
      </c>
      <c r="B73" s="36" t="s">
        <v>19</v>
      </c>
      <c r="C73" s="38">
        <v>44387</v>
      </c>
      <c r="D73" s="38"/>
      <c r="E73" s="36"/>
      <c r="F73" s="17" t="str">
        <f>IF(SPCC_Table[[#This Row],[First Prod]]="","",TEXT(C73+181,"M/dd/yy"))</f>
        <v>1/07/22</v>
      </c>
      <c r="G73" s="36"/>
      <c r="H73" s="36"/>
      <c r="I73" s="36"/>
      <c r="J73" s="16" t="s">
        <v>19</v>
      </c>
      <c r="K73" s="18">
        <v>44559</v>
      </c>
      <c r="L73" s="18"/>
      <c r="M73" s="33"/>
      <c r="N73" s="33">
        <f>IF(SPCC_Table[[#This Row],[PE Stamp Date]]="","",IF(SPCC_Table[[#This Row],[Recertified Date]]="",SPCC_Table[[#This Row],[PE Stamp Date]]+(365*5),SPCC_Table[[#This Row],[Recertified Date]]+(365*5)))</f>
        <v>46384</v>
      </c>
      <c r="O73" s="34" t="s">
        <v>20</v>
      </c>
      <c r="P73" s="36" t="s">
        <v>95</v>
      </c>
    </row>
    <row r="74" spans="1:16" ht="20.25" customHeight="1" x14ac:dyDescent="0.2">
      <c r="A74" s="36" t="s">
        <v>97</v>
      </c>
      <c r="B74" s="36" t="s">
        <v>19</v>
      </c>
      <c r="C74" s="38">
        <v>44300</v>
      </c>
      <c r="D74" s="38"/>
      <c r="E74" s="36"/>
      <c r="F74" s="17" t="str">
        <f>IF(SPCC_Table[[#This Row],[First Prod]]="","",TEXT(C74+181,"M/dd/yy"))</f>
        <v>10/12/21</v>
      </c>
      <c r="G74" s="36"/>
      <c r="H74" s="36"/>
      <c r="I74" s="36"/>
      <c r="J74" s="16" t="s">
        <v>19</v>
      </c>
      <c r="K74" s="18">
        <v>44510</v>
      </c>
      <c r="L74" s="18"/>
      <c r="M74" s="33"/>
      <c r="N74" s="33">
        <f>IF(SPCC_Table[[#This Row],[PE Stamp Date]]="","",IF(SPCC_Table[[#This Row],[Recertified Date]]="",SPCC_Table[[#This Row],[PE Stamp Date]]+(365*5),SPCC_Table[[#This Row],[Recertified Date]]+(365*5)))</f>
        <v>46335</v>
      </c>
      <c r="O74" s="34" t="s">
        <v>20</v>
      </c>
      <c r="P74" s="36" t="s">
        <v>1</v>
      </c>
    </row>
    <row r="75" spans="1:16" ht="20.25" customHeight="1" x14ac:dyDescent="0.2">
      <c r="A75" s="36" t="s">
        <v>98</v>
      </c>
      <c r="B75" s="36" t="s">
        <v>19</v>
      </c>
      <c r="C75" s="38">
        <v>44435</v>
      </c>
      <c r="D75" s="38"/>
      <c r="E75" s="36"/>
      <c r="F75" s="17" t="str">
        <f>IF(SPCC_Table[[#This Row],[First Prod]]="","",TEXT(C75+181,"M/dd/yy"))</f>
        <v>2/24/22</v>
      </c>
      <c r="G75" s="36"/>
      <c r="H75" s="36"/>
      <c r="I75" s="36"/>
      <c r="J75" s="16" t="s">
        <v>19</v>
      </c>
      <c r="K75" s="18">
        <v>44510</v>
      </c>
      <c r="L75" s="18"/>
      <c r="M75" s="33"/>
      <c r="N75" s="33">
        <f>IF(SPCC_Table[[#This Row],[PE Stamp Date]]="","",IF(SPCC_Table[[#This Row],[Recertified Date]]="",SPCC_Table[[#This Row],[PE Stamp Date]]+(365*5),SPCC_Table[[#This Row],[Recertified Date]]+(365*5)))</f>
        <v>46335</v>
      </c>
      <c r="O75" s="34" t="s">
        <v>20</v>
      </c>
      <c r="P75" s="36" t="s">
        <v>21</v>
      </c>
    </row>
    <row r="76" spans="1:16" ht="20.25" customHeight="1" x14ac:dyDescent="0.2">
      <c r="A76" s="36" t="s">
        <v>99</v>
      </c>
      <c r="B76" s="36" t="s">
        <v>19</v>
      </c>
      <c r="C76" s="38">
        <v>44426</v>
      </c>
      <c r="D76" s="38"/>
      <c r="E76" s="36"/>
      <c r="F76" s="17" t="str">
        <f>IF(SPCC_Table[[#This Row],[First Prod]]="","",TEXT(C76+181,"M/dd/yy"))</f>
        <v>2/15/22</v>
      </c>
      <c r="G76" s="36"/>
      <c r="H76" s="36"/>
      <c r="I76" s="36"/>
      <c r="J76" s="16" t="s">
        <v>19</v>
      </c>
      <c r="K76" s="18">
        <v>44510</v>
      </c>
      <c r="L76" s="18"/>
      <c r="M76" s="33"/>
      <c r="N76" s="33">
        <f>IF(SPCC_Table[[#This Row],[PE Stamp Date]]="","",IF(SPCC_Table[[#This Row],[Recertified Date]]="",SPCC_Table[[#This Row],[PE Stamp Date]]+(365*5),SPCC_Table[[#This Row],[Recertified Date]]+(365*5)))</f>
        <v>46335</v>
      </c>
      <c r="O76" s="34" t="s">
        <v>20</v>
      </c>
      <c r="P76" s="36" t="s">
        <v>21</v>
      </c>
    </row>
    <row r="77" spans="1:16" ht="20.25" customHeight="1" x14ac:dyDescent="0.2">
      <c r="A77" s="36" t="s">
        <v>100</v>
      </c>
      <c r="B77" s="36" t="s">
        <v>19</v>
      </c>
      <c r="C77" s="38">
        <v>44330</v>
      </c>
      <c r="D77" s="38"/>
      <c r="E77" s="36"/>
      <c r="F77" s="17" t="str">
        <f>IF(SPCC_Table[[#This Row],[First Prod]]="","",TEXT(C77+181,"M/dd/yy"))</f>
        <v>11/11/21</v>
      </c>
      <c r="G77" s="36"/>
      <c r="H77" s="36"/>
      <c r="I77" s="36"/>
      <c r="J77" s="16" t="s">
        <v>19</v>
      </c>
      <c r="K77" s="18">
        <v>44510</v>
      </c>
      <c r="L77" s="18"/>
      <c r="M77" s="33"/>
      <c r="N77" s="33">
        <f>IF(SPCC_Table[[#This Row],[PE Stamp Date]]="","",IF(SPCC_Table[[#This Row],[Recertified Date]]="",SPCC_Table[[#This Row],[PE Stamp Date]]+(365*5),SPCC_Table[[#This Row],[Recertified Date]]+(365*5)))</f>
        <v>46335</v>
      </c>
      <c r="O77" s="34" t="s">
        <v>20</v>
      </c>
      <c r="P77" s="36" t="s">
        <v>21</v>
      </c>
    </row>
    <row r="78" spans="1:16" ht="20.25" customHeight="1" x14ac:dyDescent="0.2">
      <c r="A78" s="46" t="s">
        <v>101</v>
      </c>
      <c r="B78" s="36" t="s">
        <v>19</v>
      </c>
      <c r="C78" s="38">
        <v>44156</v>
      </c>
      <c r="D78" s="38">
        <v>44288</v>
      </c>
      <c r="E78" s="46"/>
      <c r="F78" s="17" t="str">
        <f>IF(SPCC_Table[[#This Row],[First Prod]]="","",TEXT(C78+181,"M/dd/yy"))</f>
        <v>5/21/21</v>
      </c>
      <c r="G78" s="38"/>
      <c r="H78" s="38"/>
      <c r="I78" s="38"/>
      <c r="J78" s="16" t="s">
        <v>19</v>
      </c>
      <c r="K78" s="18">
        <v>44356</v>
      </c>
      <c r="L78" s="18"/>
      <c r="M78" s="33"/>
      <c r="N78" s="33">
        <f>IF(SPCC_Table[[#This Row],[PE Stamp Date]]="","",IF(SPCC_Table[[#This Row],[Recertified Date]]="",SPCC_Table[[#This Row],[PE Stamp Date]]+(365*5),SPCC_Table[[#This Row],[Recertified Date]]+(365*5)))</f>
        <v>46181</v>
      </c>
      <c r="O78" s="34" t="s">
        <v>20</v>
      </c>
      <c r="P78" s="36" t="s">
        <v>21</v>
      </c>
    </row>
    <row r="79" spans="1:16" ht="20.25" customHeight="1" x14ac:dyDescent="0.2">
      <c r="A79" s="36" t="s">
        <v>102</v>
      </c>
      <c r="B79" s="36" t="s">
        <v>19</v>
      </c>
      <c r="C79" s="38">
        <v>44156</v>
      </c>
      <c r="D79" s="38">
        <v>44288</v>
      </c>
      <c r="E79" s="36"/>
      <c r="F79" s="17" t="str">
        <f>IF(SPCC_Table[[#This Row],[First Prod]]="","",TEXT(C79+181,"M/dd/yy"))</f>
        <v>5/21/21</v>
      </c>
      <c r="G79" s="38"/>
      <c r="H79" s="38"/>
      <c r="I79" s="38"/>
      <c r="J79" s="16" t="s">
        <v>19</v>
      </c>
      <c r="K79" s="18">
        <v>44356</v>
      </c>
      <c r="L79" s="18"/>
      <c r="M79" s="33"/>
      <c r="N79" s="33">
        <f>IF(SPCC_Table[[#This Row],[PE Stamp Date]]="","",IF(SPCC_Table[[#This Row],[Recertified Date]]="",SPCC_Table[[#This Row],[PE Stamp Date]]+(365*5),SPCC_Table[[#This Row],[Recertified Date]]+(365*5)))</f>
        <v>46181</v>
      </c>
      <c r="O79" s="34" t="s">
        <v>20</v>
      </c>
      <c r="P79" s="36" t="s">
        <v>1</v>
      </c>
    </row>
    <row r="80" spans="1:16" ht="20.25" customHeight="1" x14ac:dyDescent="0.2">
      <c r="A80" s="36" t="s">
        <v>103</v>
      </c>
      <c r="B80" s="36" t="s">
        <v>19</v>
      </c>
      <c r="C80" s="51">
        <v>44096</v>
      </c>
      <c r="D80" s="38"/>
      <c r="E80" s="36"/>
      <c r="F80" s="17" t="str">
        <f>IF(SPCC_Table[[#This Row],[First Prod]]="","",TEXT(C80+181,"M/dd/yy"))</f>
        <v>3/22/21</v>
      </c>
      <c r="G80" s="38"/>
      <c r="H80" s="38"/>
      <c r="I80" s="38"/>
      <c r="J80" s="16" t="s">
        <v>19</v>
      </c>
      <c r="K80" s="18">
        <v>44316</v>
      </c>
      <c r="L80" s="18"/>
      <c r="M80" s="33"/>
      <c r="N80" s="33">
        <f>IF(SPCC_Table[[#This Row],[PE Stamp Date]]="","",IF(SPCC_Table[[#This Row],[Recertified Date]]="",SPCC_Table[[#This Row],[PE Stamp Date]]+(365*5),SPCC_Table[[#This Row],[Recertified Date]]+(365*5)))</f>
        <v>46141</v>
      </c>
      <c r="O80" s="34" t="s">
        <v>20</v>
      </c>
      <c r="P80" s="36" t="s">
        <v>21</v>
      </c>
    </row>
    <row r="81" spans="1:16" ht="20.25" customHeight="1" x14ac:dyDescent="0.2">
      <c r="A81" s="36" t="s">
        <v>104</v>
      </c>
      <c r="B81" s="36" t="s">
        <v>19</v>
      </c>
      <c r="C81" s="51">
        <v>44095</v>
      </c>
      <c r="D81" s="38"/>
      <c r="E81" s="36"/>
      <c r="F81" s="17" t="str">
        <f>IF(SPCC_Table[[#This Row],[First Prod]]="","",TEXT(C81+181,"M/dd/yy"))</f>
        <v>3/21/21</v>
      </c>
      <c r="G81" s="38"/>
      <c r="H81" s="38"/>
      <c r="I81" s="38"/>
      <c r="J81" s="16" t="s">
        <v>19</v>
      </c>
      <c r="K81" s="18">
        <v>44316</v>
      </c>
      <c r="L81" s="18"/>
      <c r="M81" s="33"/>
      <c r="N81" s="33">
        <f>IF(SPCC_Table[[#This Row],[PE Stamp Date]]="","",IF(SPCC_Table[[#This Row],[Recertified Date]]="",SPCC_Table[[#This Row],[PE Stamp Date]]+(365*5),SPCC_Table[[#This Row],[Recertified Date]]+(365*5)))</f>
        <v>46141</v>
      </c>
      <c r="O81" s="34" t="s">
        <v>20</v>
      </c>
      <c r="P81" s="36" t="s">
        <v>95</v>
      </c>
    </row>
    <row r="82" spans="1:16" ht="20.25" customHeight="1" x14ac:dyDescent="0.2">
      <c r="A82" s="36" t="s">
        <v>105</v>
      </c>
      <c r="B82" s="36" t="s">
        <v>19</v>
      </c>
      <c r="C82" s="51">
        <v>44094</v>
      </c>
      <c r="D82" s="38"/>
      <c r="E82" s="36"/>
      <c r="F82" s="17" t="str">
        <f>IF(SPCC_Table[[#This Row],[First Prod]]="","",TEXT(C82+181,"M/dd/yy"))</f>
        <v>3/20/21</v>
      </c>
      <c r="G82" s="38"/>
      <c r="H82" s="38"/>
      <c r="I82" s="38"/>
      <c r="J82" s="16" t="s">
        <v>19</v>
      </c>
      <c r="K82" s="18">
        <v>44316</v>
      </c>
      <c r="L82" s="18"/>
      <c r="M82" s="33"/>
      <c r="N82" s="33">
        <f>IF(SPCC_Table[[#This Row],[PE Stamp Date]]="","",IF(SPCC_Table[[#This Row],[Recertified Date]]="",SPCC_Table[[#This Row],[PE Stamp Date]]+(365*5),SPCC_Table[[#This Row],[Recertified Date]]+(365*5)))</f>
        <v>46141</v>
      </c>
      <c r="O82" s="34" t="s">
        <v>20</v>
      </c>
      <c r="P82" s="36" t="s">
        <v>21</v>
      </c>
    </row>
    <row r="83" spans="1:16" ht="20.25" customHeight="1" x14ac:dyDescent="0.2">
      <c r="A83" s="36" t="s">
        <v>106</v>
      </c>
      <c r="B83" s="36" t="s">
        <v>19</v>
      </c>
      <c r="C83" s="51">
        <v>44119</v>
      </c>
      <c r="D83" s="38">
        <v>44288</v>
      </c>
      <c r="E83" s="36"/>
      <c r="F83" s="17" t="str">
        <f>IF(SPCC_Table[[#This Row],[First Prod]]="","",TEXT(C83+181,"M/dd/yy"))</f>
        <v>4/14/21</v>
      </c>
      <c r="G83" s="38"/>
      <c r="H83" s="38"/>
      <c r="I83" s="38"/>
      <c r="J83" s="16" t="s">
        <v>19</v>
      </c>
      <c r="K83" s="18">
        <v>44316</v>
      </c>
      <c r="L83" s="18"/>
      <c r="M83" s="33"/>
      <c r="N83" s="33">
        <f>IF(SPCC_Table[[#This Row],[PE Stamp Date]]="","",IF(SPCC_Table[[#This Row],[Recertified Date]]="",SPCC_Table[[#This Row],[PE Stamp Date]]+(365*5),SPCC_Table[[#This Row],[Recertified Date]]+(365*5)))</f>
        <v>46141</v>
      </c>
      <c r="O83" s="34" t="s">
        <v>20</v>
      </c>
      <c r="P83" s="36" t="s">
        <v>21</v>
      </c>
    </row>
    <row r="84" spans="1:16" ht="20.25" customHeight="1" x14ac:dyDescent="0.2">
      <c r="A84" s="36" t="s">
        <v>107</v>
      </c>
      <c r="B84" s="36" t="s">
        <v>19</v>
      </c>
      <c r="C84" s="51">
        <v>44101</v>
      </c>
      <c r="D84" s="38"/>
      <c r="E84" s="36"/>
      <c r="F84" s="17" t="str">
        <f>IF(SPCC_Table[[#This Row],[First Prod]]="","",TEXT(C84+181,"M/dd/yy"))</f>
        <v>3/27/21</v>
      </c>
      <c r="G84" s="38"/>
      <c r="H84" s="38"/>
      <c r="I84" s="38"/>
      <c r="J84" s="16" t="s">
        <v>19</v>
      </c>
      <c r="K84" s="18">
        <v>44316</v>
      </c>
      <c r="L84" s="18"/>
      <c r="M84" s="33"/>
      <c r="N84" s="33">
        <f>IF(SPCC_Table[[#This Row],[PE Stamp Date]]="","",IF(SPCC_Table[[#This Row],[Recertified Date]]="",SPCC_Table[[#This Row],[PE Stamp Date]]+(365*5),SPCC_Table[[#This Row],[Recertified Date]]+(365*5)))</f>
        <v>46141</v>
      </c>
      <c r="O84" s="34" t="s">
        <v>20</v>
      </c>
      <c r="P84" s="36" t="s">
        <v>1</v>
      </c>
    </row>
    <row r="85" spans="1:16" ht="20.25" customHeight="1" x14ac:dyDescent="0.2">
      <c r="A85" s="36" t="s">
        <v>108</v>
      </c>
      <c r="B85" s="52" t="s">
        <v>19</v>
      </c>
      <c r="C85" s="38">
        <v>44431</v>
      </c>
      <c r="D85" s="38"/>
      <c r="E85" s="53"/>
      <c r="F85" s="17" t="str">
        <f>IF(SPCC_Table[[#This Row],[First Prod]]="","",TEXT(C85+181,"M/dd/yy"))</f>
        <v>2/20/22</v>
      </c>
      <c r="G85" s="36"/>
      <c r="H85" s="36"/>
      <c r="I85" s="36"/>
      <c r="J85" s="16" t="s">
        <v>19</v>
      </c>
      <c r="K85" s="18">
        <v>44242</v>
      </c>
      <c r="L85" s="54">
        <v>44607</v>
      </c>
      <c r="M85" s="55">
        <v>45931</v>
      </c>
      <c r="N85" s="56">
        <f>IF(SPCC_Table[[#This Row],[PE Stamp Date]]="","",IF(SPCC_Table[[#This Row],[Recertified Date]]="",SPCC_Table[[#This Row],[PE Stamp Date]]+(365*5),SPCC_Table[[#This Row],[Recertified Date]]+(365*5)))</f>
        <v>47756</v>
      </c>
      <c r="O85" s="57" t="s">
        <v>0</v>
      </c>
      <c r="P85" s="36" t="s">
        <v>1</v>
      </c>
    </row>
    <row r="86" spans="1:16" ht="20.25" customHeight="1" x14ac:dyDescent="0.2">
      <c r="A86" s="36" t="s">
        <v>109</v>
      </c>
      <c r="B86" s="36" t="s">
        <v>19</v>
      </c>
      <c r="C86" s="38">
        <v>43922</v>
      </c>
      <c r="D86" s="38">
        <v>44091</v>
      </c>
      <c r="E86" s="36"/>
      <c r="F86" s="17" t="str">
        <f>IF(SPCC_Table[[#This Row],[First Prod]]="","",TEXT(C86+181,"M/dd/yy"))</f>
        <v>9/29/20</v>
      </c>
      <c r="G86" s="38"/>
      <c r="H86" s="38"/>
      <c r="I86" s="38"/>
      <c r="J86" s="16" t="s">
        <v>19</v>
      </c>
      <c r="K86" s="18">
        <v>44130</v>
      </c>
      <c r="L86" s="18">
        <v>44130</v>
      </c>
      <c r="M86" s="33">
        <v>45955</v>
      </c>
      <c r="N86" s="33">
        <f>IF(SPCC_Table[[#This Row],[PE Stamp Date]]="","",IF(SPCC_Table[[#This Row],[Recertified Date]]="",SPCC_Table[[#This Row],[PE Stamp Date]]+(365*5),SPCC_Table[[#This Row],[Recertified Date]]+(365*5)))</f>
        <v>47780</v>
      </c>
      <c r="O86" s="34" t="s">
        <v>0</v>
      </c>
      <c r="P86" s="36" t="s">
        <v>21</v>
      </c>
    </row>
    <row r="87" spans="1:16" ht="20.25" customHeight="1" x14ac:dyDescent="0.2">
      <c r="A87" s="36" t="s">
        <v>110</v>
      </c>
      <c r="B87" s="36" t="s">
        <v>19</v>
      </c>
      <c r="C87" s="38">
        <v>44032</v>
      </c>
      <c r="D87" s="38">
        <v>44091</v>
      </c>
      <c r="E87" s="36"/>
      <c r="F87" s="17" t="str">
        <f>IF(SPCC_Table[[#This Row],[First Prod]]="","",TEXT(C87+181,"M/dd/yy"))</f>
        <v>1/17/21</v>
      </c>
      <c r="G87" s="38"/>
      <c r="H87" s="38"/>
      <c r="I87" s="38"/>
      <c r="J87" s="16" t="s">
        <v>19</v>
      </c>
      <c r="K87" s="18">
        <v>44130</v>
      </c>
      <c r="L87" s="18">
        <v>44130</v>
      </c>
      <c r="M87" s="33">
        <v>45955</v>
      </c>
      <c r="N87" s="33">
        <f>IF(SPCC_Table[[#This Row],[PE Stamp Date]]="","",IF(SPCC_Table[[#This Row],[Recertified Date]]="",SPCC_Table[[#This Row],[PE Stamp Date]]+(365*5),SPCC_Table[[#This Row],[Recertified Date]]+(365*5)))</f>
        <v>47780</v>
      </c>
      <c r="O87" s="34" t="s">
        <v>0</v>
      </c>
      <c r="P87" s="36" t="s">
        <v>1</v>
      </c>
    </row>
    <row r="88" spans="1:16" ht="20.25" customHeight="1" x14ac:dyDescent="0.2">
      <c r="A88" s="36" t="s">
        <v>111</v>
      </c>
      <c r="B88" s="36" t="s">
        <v>19</v>
      </c>
      <c r="C88" s="38">
        <v>44046</v>
      </c>
      <c r="D88" s="38">
        <v>44091</v>
      </c>
      <c r="E88" s="36"/>
      <c r="F88" s="17" t="str">
        <f>IF(SPCC_Table[[#This Row],[First Prod]]="","",TEXT(C88+181,"M/dd/yy"))</f>
        <v>1/31/21</v>
      </c>
      <c r="G88" s="38"/>
      <c r="H88" s="38"/>
      <c r="I88" s="38"/>
      <c r="J88" s="16" t="s">
        <v>19</v>
      </c>
      <c r="K88" s="18">
        <v>44104</v>
      </c>
      <c r="L88" s="18">
        <v>44104</v>
      </c>
      <c r="M88" s="33">
        <v>45929</v>
      </c>
      <c r="N88" s="33">
        <f>IF(SPCC_Table[[#This Row],[PE Stamp Date]]="","",IF(SPCC_Table[[#This Row],[Recertified Date]]="",SPCC_Table[[#This Row],[PE Stamp Date]]+(365*5),SPCC_Table[[#This Row],[Recertified Date]]+(365*5)))</f>
        <v>47754</v>
      </c>
      <c r="O88" s="34" t="s">
        <v>0</v>
      </c>
      <c r="P88" s="36" t="s">
        <v>21</v>
      </c>
    </row>
    <row r="89" spans="1:16" ht="20.25" customHeight="1" x14ac:dyDescent="0.2">
      <c r="A89" s="36" t="s">
        <v>112</v>
      </c>
      <c r="B89" s="36" t="s">
        <v>19</v>
      </c>
      <c r="C89" s="38">
        <v>43827</v>
      </c>
      <c r="D89" s="38">
        <v>43900</v>
      </c>
      <c r="E89" s="36"/>
      <c r="F89" s="17" t="str">
        <f>IF(SPCC_Table[[#This Row],[First Prod]]="","",TEXT(C89+181,"M/dd/yy"))</f>
        <v>6/26/20</v>
      </c>
      <c r="G89" s="38"/>
      <c r="H89" s="38"/>
      <c r="I89" s="38"/>
      <c r="J89" s="16" t="s">
        <v>19</v>
      </c>
      <c r="K89" s="18">
        <v>44007</v>
      </c>
      <c r="L89" s="18" t="s">
        <v>31</v>
      </c>
      <c r="M89" s="33">
        <v>45828</v>
      </c>
      <c r="N89" s="33">
        <f>IF(SPCC_Table[[#This Row],[PE Stamp Date]]="","",IF(SPCC_Table[[#This Row],[Recertified Date]]="",SPCC_Table[[#This Row],[PE Stamp Date]]+(365*5),SPCC_Table[[#This Row],[Recertified Date]]+(365*5)))</f>
        <v>47653</v>
      </c>
      <c r="O89" s="34" t="s">
        <v>0</v>
      </c>
      <c r="P89" s="36" t="s">
        <v>21</v>
      </c>
    </row>
    <row r="90" spans="1:16" ht="20.25" customHeight="1" x14ac:dyDescent="0.2">
      <c r="A90" s="36" t="s">
        <v>113</v>
      </c>
      <c r="B90" s="36" t="s">
        <v>19</v>
      </c>
      <c r="C90" s="38">
        <v>43837</v>
      </c>
      <c r="D90" s="38">
        <v>43900</v>
      </c>
      <c r="E90" s="36"/>
      <c r="F90" s="17" t="str">
        <f>IF(SPCC_Table[[#This Row],[First Prod]]="","",TEXT(C90+181,"M/dd/yy"))</f>
        <v>7/06/20</v>
      </c>
      <c r="G90" s="38"/>
      <c r="H90" s="38"/>
      <c r="I90" s="38"/>
      <c r="J90" s="16" t="s">
        <v>19</v>
      </c>
      <c r="K90" s="18">
        <v>44007</v>
      </c>
      <c r="L90" s="18" t="s">
        <v>31</v>
      </c>
      <c r="M90" s="33">
        <v>45828</v>
      </c>
      <c r="N90" s="33">
        <f>IF(SPCC_Table[[#This Row],[PE Stamp Date]]="","",IF(SPCC_Table[[#This Row],[Recertified Date]]="",SPCC_Table[[#This Row],[PE Stamp Date]]+(365*5),SPCC_Table[[#This Row],[Recertified Date]]+(365*5)))</f>
        <v>47653</v>
      </c>
      <c r="O90" s="34" t="s">
        <v>0</v>
      </c>
      <c r="P90" s="36" t="s">
        <v>1</v>
      </c>
    </row>
    <row r="91" spans="1:16" ht="20.25" customHeight="1" x14ac:dyDescent="0.2">
      <c r="A91" s="36" t="s">
        <v>114</v>
      </c>
      <c r="B91" s="36" t="s">
        <v>19</v>
      </c>
      <c r="C91" s="38">
        <v>43885</v>
      </c>
      <c r="D91" s="38">
        <v>43900</v>
      </c>
      <c r="E91" s="36"/>
      <c r="F91" s="17" t="str">
        <f>IF(SPCC_Table[[#This Row],[First Prod]]="","",TEXT(C91+181,"M/dd/yy"))</f>
        <v>8/23/20</v>
      </c>
      <c r="G91" s="38"/>
      <c r="H91" s="38"/>
      <c r="I91" s="38"/>
      <c r="J91" s="16" t="s">
        <v>19</v>
      </c>
      <c r="K91" s="18">
        <v>44007</v>
      </c>
      <c r="L91" s="18" t="s">
        <v>31</v>
      </c>
      <c r="M91" s="33">
        <v>45828</v>
      </c>
      <c r="N91" s="33">
        <f>IF(SPCC_Table[[#This Row],[PE Stamp Date]]="","",IF(SPCC_Table[[#This Row],[Recertified Date]]="",SPCC_Table[[#This Row],[PE Stamp Date]]+(365*5),SPCC_Table[[#This Row],[Recertified Date]]+(365*5)))</f>
        <v>47653</v>
      </c>
      <c r="O91" s="34" t="s">
        <v>0</v>
      </c>
      <c r="P91" s="36" t="s">
        <v>1</v>
      </c>
    </row>
    <row r="92" spans="1:16" ht="20.25" customHeight="1" x14ac:dyDescent="0.2">
      <c r="A92" s="36" t="s">
        <v>115</v>
      </c>
      <c r="B92" s="36" t="s">
        <v>19</v>
      </c>
      <c r="C92" s="38">
        <v>43861</v>
      </c>
      <c r="D92" s="38">
        <v>43900</v>
      </c>
      <c r="E92" s="36"/>
      <c r="F92" s="17" t="str">
        <f>IF(SPCC_Table[[#This Row],[First Prod]]="","",TEXT(C92+181,"M/dd/yy"))</f>
        <v>7/30/20</v>
      </c>
      <c r="G92" s="38"/>
      <c r="H92" s="38"/>
      <c r="I92" s="38"/>
      <c r="J92" s="16" t="s">
        <v>19</v>
      </c>
      <c r="K92" s="18">
        <v>43979</v>
      </c>
      <c r="L92" s="18" t="s">
        <v>31</v>
      </c>
      <c r="M92" s="33">
        <v>45804</v>
      </c>
      <c r="N92" s="33">
        <f>IF(SPCC_Table[[#This Row],[PE Stamp Date]]="","",IF(SPCC_Table[[#This Row],[Recertified Date]]="",SPCC_Table[[#This Row],[PE Stamp Date]]+(365*5),SPCC_Table[[#This Row],[Recertified Date]]+(365*5)))</f>
        <v>47629</v>
      </c>
      <c r="O92" s="34" t="s">
        <v>0</v>
      </c>
      <c r="P92" s="36" t="s">
        <v>1</v>
      </c>
    </row>
    <row r="93" spans="1:16" ht="20.25" customHeight="1" x14ac:dyDescent="0.2">
      <c r="A93" s="36" t="s">
        <v>116</v>
      </c>
      <c r="B93" s="36" t="s">
        <v>19</v>
      </c>
      <c r="C93" s="38">
        <v>43796</v>
      </c>
      <c r="D93" s="38">
        <v>43900</v>
      </c>
      <c r="E93" s="36"/>
      <c r="F93" s="17" t="str">
        <f>IF(SPCC_Table[[#This Row],[First Prod]]="","",TEXT(C93+181,"M/dd/yy"))</f>
        <v>5/26/20</v>
      </c>
      <c r="G93" s="38"/>
      <c r="H93" s="38"/>
      <c r="I93" s="38"/>
      <c r="J93" s="16" t="s">
        <v>19</v>
      </c>
      <c r="K93" s="18">
        <v>43979</v>
      </c>
      <c r="L93" s="18" t="s">
        <v>31</v>
      </c>
      <c r="M93" s="33">
        <v>45679</v>
      </c>
      <c r="N93" s="33">
        <f>IF(SPCC_Table[[#This Row],[PE Stamp Date]]="","",IF(SPCC_Table[[#This Row],[Recertified Date]]="",SPCC_Table[[#This Row],[PE Stamp Date]]+(365*5),SPCC_Table[[#This Row],[Recertified Date]]+(365*5)))</f>
        <v>47504</v>
      </c>
      <c r="O93" s="34" t="s">
        <v>0</v>
      </c>
      <c r="P93" s="36" t="s">
        <v>1</v>
      </c>
    </row>
    <row r="94" spans="1:16" ht="20.25" customHeight="1" x14ac:dyDescent="0.2">
      <c r="A94" s="36" t="s">
        <v>117</v>
      </c>
      <c r="B94" s="36" t="s">
        <v>19</v>
      </c>
      <c r="C94" s="38">
        <v>43805</v>
      </c>
      <c r="D94" s="38">
        <v>43900</v>
      </c>
      <c r="E94" s="36"/>
      <c r="F94" s="17" t="str">
        <f>IF(SPCC_Table[[#This Row],[First Prod]]="","",TEXT(C94+181,"M/dd/yy"))</f>
        <v>6/04/20</v>
      </c>
      <c r="G94" s="38"/>
      <c r="H94" s="38"/>
      <c r="I94" s="38"/>
      <c r="J94" s="16" t="s">
        <v>19</v>
      </c>
      <c r="K94" s="18">
        <v>43979</v>
      </c>
      <c r="L94" s="18" t="s">
        <v>31</v>
      </c>
      <c r="M94" s="33">
        <v>45802</v>
      </c>
      <c r="N94" s="33">
        <f>IF(SPCC_Table[[#This Row],[PE Stamp Date]]="","",IF(SPCC_Table[[#This Row],[Recertified Date]]="",SPCC_Table[[#This Row],[PE Stamp Date]]+(365*5),SPCC_Table[[#This Row],[Recertified Date]]+(365*5)))</f>
        <v>47627</v>
      </c>
      <c r="O94" s="34" t="s">
        <v>0</v>
      </c>
      <c r="P94" s="36" t="s">
        <v>1</v>
      </c>
    </row>
    <row r="95" spans="1:16" ht="20.25" customHeight="1" x14ac:dyDescent="0.2">
      <c r="A95" s="16" t="s">
        <v>118</v>
      </c>
      <c r="B95" s="14" t="s">
        <v>19</v>
      </c>
      <c r="C95" s="15"/>
      <c r="D95" s="15"/>
      <c r="E95" s="16"/>
      <c r="F95" s="17" t="str">
        <f>IF(SPCC_Table[[#This Row],[First Prod]]="","",TEXT(C95+181,"M/dd/yy"))</f>
        <v/>
      </c>
      <c r="G95" s="16"/>
      <c r="H95" s="16"/>
      <c r="I95" s="16"/>
      <c r="J95" s="16" t="s">
        <v>19</v>
      </c>
      <c r="K95" s="18">
        <v>43868</v>
      </c>
      <c r="L95" s="18" t="s">
        <v>31</v>
      </c>
      <c r="M95" s="58">
        <v>45689</v>
      </c>
      <c r="N95" s="33">
        <f>IF(SPCC_Table[[#This Row],[PE Stamp Date]]="","",IF(SPCC_Table[[#This Row],[Recertified Date]]="",SPCC_Table[[#This Row],[PE Stamp Date]]+(365*5),SPCC_Table[[#This Row],[Recertified Date]]+(365*5)))</f>
        <v>47514</v>
      </c>
      <c r="O95" s="34" t="s">
        <v>0</v>
      </c>
      <c r="P95" s="16" t="s">
        <v>1</v>
      </c>
    </row>
    <row r="96" spans="1:16" ht="20.25" customHeight="1" x14ac:dyDescent="0.2">
      <c r="A96" s="16" t="s">
        <v>119</v>
      </c>
      <c r="B96" s="14" t="s">
        <v>19</v>
      </c>
      <c r="C96" s="15"/>
      <c r="D96" s="15"/>
      <c r="E96" s="16"/>
      <c r="F96" s="17" t="str">
        <f>IF(SPCC_Table[[#This Row],[First Prod]]="","",TEXT(C96+181,"M/dd/yy"))</f>
        <v/>
      </c>
      <c r="G96" s="16"/>
      <c r="H96" s="16"/>
      <c r="I96" s="16"/>
      <c r="J96" s="16" t="s">
        <v>19</v>
      </c>
      <c r="K96" s="18">
        <v>43868</v>
      </c>
      <c r="L96" s="18" t="s">
        <v>31</v>
      </c>
      <c r="M96" s="58">
        <v>45689</v>
      </c>
      <c r="N96" s="33">
        <f>IF(SPCC_Table[[#This Row],[PE Stamp Date]]="","",IF(SPCC_Table[[#This Row],[Recertified Date]]="",SPCC_Table[[#This Row],[PE Stamp Date]]+(365*5),SPCC_Table[[#This Row],[Recertified Date]]+(365*5)))</f>
        <v>47514</v>
      </c>
      <c r="O96" s="34" t="s">
        <v>0</v>
      </c>
      <c r="P96" s="16" t="s">
        <v>1</v>
      </c>
    </row>
    <row r="97" spans="1:16" ht="20.25" customHeight="1" x14ac:dyDescent="0.2">
      <c r="A97" s="16" t="s">
        <v>120</v>
      </c>
      <c r="B97" s="14" t="s">
        <v>19</v>
      </c>
      <c r="C97" s="15"/>
      <c r="D97" s="15"/>
      <c r="E97" s="16"/>
      <c r="F97" s="17" t="str">
        <f>IF(SPCC_Table[[#This Row],[First Prod]]="","",TEXT(C97+181,"M/dd/yy"))</f>
        <v/>
      </c>
      <c r="G97" s="16"/>
      <c r="H97" s="16"/>
      <c r="I97" s="16"/>
      <c r="J97" s="16" t="s">
        <v>19</v>
      </c>
      <c r="K97" s="18">
        <v>43868</v>
      </c>
      <c r="L97" s="18" t="s">
        <v>31</v>
      </c>
      <c r="M97" s="58">
        <v>45689</v>
      </c>
      <c r="N97" s="33">
        <f>IF(SPCC_Table[[#This Row],[PE Stamp Date]]="","",IF(SPCC_Table[[#This Row],[Recertified Date]]="",SPCC_Table[[#This Row],[PE Stamp Date]]+(365*5),SPCC_Table[[#This Row],[Recertified Date]]+(365*5)))</f>
        <v>47514</v>
      </c>
      <c r="O97" s="34" t="s">
        <v>0</v>
      </c>
      <c r="P97" s="16" t="s">
        <v>1</v>
      </c>
    </row>
    <row r="98" spans="1:16" ht="27" customHeight="1" x14ac:dyDescent="0.2">
      <c r="A98" s="16" t="s">
        <v>121</v>
      </c>
      <c r="B98" s="14" t="s">
        <v>19</v>
      </c>
      <c r="C98" s="15"/>
      <c r="D98" s="15"/>
      <c r="E98" s="16"/>
      <c r="F98" s="17" t="str">
        <f>IF(SPCC_Table[[#This Row],[First Prod]]="","",TEXT(C98+181,"M/dd/yy"))</f>
        <v/>
      </c>
      <c r="G98" s="16"/>
      <c r="H98" s="16"/>
      <c r="I98" s="16"/>
      <c r="J98" s="16" t="s">
        <v>19</v>
      </c>
      <c r="K98" s="18">
        <v>43830</v>
      </c>
      <c r="L98" s="18" t="s">
        <v>31</v>
      </c>
      <c r="M98" s="58">
        <v>45679</v>
      </c>
      <c r="N98" s="33">
        <f>IF(SPCC_Table[[#This Row],[PE Stamp Date]]="","",IF(SPCC_Table[[#This Row],[Recertified Date]]="",SPCC_Table[[#This Row],[PE Stamp Date]]+(365*5),SPCC_Table[[#This Row],[Recertified Date]]+(365*5)))</f>
        <v>47504</v>
      </c>
      <c r="O98" s="34" t="s">
        <v>0</v>
      </c>
      <c r="P98" s="16" t="s">
        <v>1</v>
      </c>
    </row>
    <row r="99" spans="1:16" ht="27" customHeight="1" x14ac:dyDescent="0.2">
      <c r="A99" s="16" t="s">
        <v>122</v>
      </c>
      <c r="B99" s="14" t="s">
        <v>19</v>
      </c>
      <c r="C99" s="15"/>
      <c r="D99" s="15"/>
      <c r="E99" s="16"/>
      <c r="F99" s="17" t="str">
        <f>IF(SPCC_Table[[#This Row],[First Prod]]="","",TEXT(C99+181,"M/dd/yy"))</f>
        <v/>
      </c>
      <c r="G99" s="16"/>
      <c r="H99" s="16"/>
      <c r="I99" s="16"/>
      <c r="J99" s="16" t="s">
        <v>19</v>
      </c>
      <c r="K99" s="18">
        <v>43830</v>
      </c>
      <c r="L99" s="18" t="s">
        <v>31</v>
      </c>
      <c r="M99" s="58">
        <v>45679</v>
      </c>
      <c r="N99" s="33">
        <f>IF(SPCC_Table[[#This Row],[PE Stamp Date]]="","",IF(SPCC_Table[[#This Row],[Recertified Date]]="",SPCC_Table[[#This Row],[PE Stamp Date]]+(365*5),SPCC_Table[[#This Row],[Recertified Date]]+(365*5)))</f>
        <v>47504</v>
      </c>
      <c r="O99" s="34" t="s">
        <v>0</v>
      </c>
      <c r="P99" s="16" t="s">
        <v>21</v>
      </c>
    </row>
    <row r="100" spans="1:16" ht="20.25" customHeight="1" x14ac:dyDescent="0.2">
      <c r="A100" s="16" t="s">
        <v>123</v>
      </c>
      <c r="B100" s="14" t="s">
        <v>19</v>
      </c>
      <c r="C100" s="15"/>
      <c r="D100" s="15"/>
      <c r="E100" s="16"/>
      <c r="F100" s="17" t="str">
        <f>IF(SPCC_Table[[#This Row],[First Prod]]="","",TEXT(C100+181,"M/dd/yy"))</f>
        <v/>
      </c>
      <c r="G100" s="16"/>
      <c r="H100" s="16"/>
      <c r="I100" s="16"/>
      <c r="J100" s="16" t="s">
        <v>19</v>
      </c>
      <c r="K100" s="18">
        <v>43830</v>
      </c>
      <c r="L100" s="18" t="s">
        <v>31</v>
      </c>
      <c r="M100" s="58">
        <v>45670</v>
      </c>
      <c r="N100" s="33">
        <f>IF(SPCC_Table[[#This Row],[PE Stamp Date]]="","",IF(SPCC_Table[[#This Row],[Recertified Date]]="",SPCC_Table[[#This Row],[PE Stamp Date]]+(365*5),SPCC_Table[[#This Row],[Recertified Date]]+(365*5)))</f>
        <v>47495</v>
      </c>
      <c r="O100" s="34" t="s">
        <v>0</v>
      </c>
      <c r="P100" s="16" t="s">
        <v>1</v>
      </c>
    </row>
    <row r="101" spans="1:16" ht="20.25" customHeight="1" x14ac:dyDescent="0.2">
      <c r="A101" s="16" t="s">
        <v>124</v>
      </c>
      <c r="B101" s="14" t="s">
        <v>19</v>
      </c>
      <c r="C101" s="15">
        <v>42780</v>
      </c>
      <c r="D101" s="15"/>
      <c r="E101" s="16"/>
      <c r="F101" s="17" t="str">
        <f>IF(SPCC_Table[[#This Row],[First Prod]]="","",TEXT(C101+181,"M/dd/yy"))</f>
        <v>8/14/17</v>
      </c>
      <c r="G101" s="16"/>
      <c r="H101" s="16"/>
      <c r="I101" s="16"/>
      <c r="J101" s="16" t="s">
        <v>19</v>
      </c>
      <c r="K101" s="18">
        <v>43781</v>
      </c>
      <c r="L101" s="18" t="s">
        <v>31</v>
      </c>
      <c r="M101" s="58">
        <v>45671</v>
      </c>
      <c r="N101" s="33">
        <f>IF(SPCC_Table[[#This Row],[PE Stamp Date]]="","",IF(SPCC_Table[[#This Row],[Recertified Date]]="",SPCC_Table[[#This Row],[PE Stamp Date]]+(365*5),SPCC_Table[[#This Row],[Recertified Date]]+(365*5)))</f>
        <v>47496</v>
      </c>
      <c r="O101" s="34" t="s">
        <v>0</v>
      </c>
      <c r="P101" s="16" t="s">
        <v>21</v>
      </c>
    </row>
    <row r="102" spans="1:16" ht="20.25" customHeight="1" x14ac:dyDescent="0.2">
      <c r="A102" s="16" t="s">
        <v>125</v>
      </c>
      <c r="B102" s="14" t="s">
        <v>19</v>
      </c>
      <c r="C102" s="15"/>
      <c r="D102" s="15"/>
      <c r="E102" s="16"/>
      <c r="F102" s="17" t="str">
        <f>IF(SPCC_Table[[#This Row],[First Prod]]="","",TEXT(C102+181,"M/dd/yy"))</f>
        <v/>
      </c>
      <c r="G102" s="16"/>
      <c r="H102" s="16"/>
      <c r="I102" s="16"/>
      <c r="J102" s="16" t="s">
        <v>19</v>
      </c>
      <c r="K102" s="18">
        <v>43720</v>
      </c>
      <c r="L102" s="18" t="s">
        <v>31</v>
      </c>
      <c r="M102" s="58">
        <v>45679</v>
      </c>
      <c r="N102" s="33">
        <f>IF(SPCC_Table[[#This Row],[PE Stamp Date]]="","",IF(SPCC_Table[[#This Row],[Recertified Date]]="",SPCC_Table[[#This Row],[PE Stamp Date]]+(365*5),SPCC_Table[[#This Row],[Recertified Date]]+(365*5)))</f>
        <v>47504</v>
      </c>
      <c r="O102" s="34" t="s">
        <v>0</v>
      </c>
      <c r="P102" s="16" t="s">
        <v>21</v>
      </c>
    </row>
    <row r="103" spans="1:16" ht="20.25" customHeight="1" x14ac:dyDescent="0.2">
      <c r="A103" s="16" t="s">
        <v>126</v>
      </c>
      <c r="B103" s="14" t="s">
        <v>19</v>
      </c>
      <c r="C103" s="15">
        <v>43594</v>
      </c>
      <c r="D103" s="15"/>
      <c r="E103" s="16"/>
      <c r="F103" s="17" t="str">
        <f>IF(SPCC_Table[[#This Row],[First Prod]]="","",TEXT(C103+181,"M/dd/yy"))</f>
        <v>11/06/19</v>
      </c>
      <c r="G103" s="16"/>
      <c r="H103" s="16"/>
      <c r="I103" s="16"/>
      <c r="J103" s="16" t="s">
        <v>19</v>
      </c>
      <c r="K103" s="18">
        <v>43720</v>
      </c>
      <c r="L103" s="18" t="s">
        <v>31</v>
      </c>
      <c r="M103" s="58">
        <v>45679</v>
      </c>
      <c r="N103" s="33">
        <f>IF(SPCC_Table[[#This Row],[PE Stamp Date]]="","",IF(SPCC_Table[[#This Row],[Recertified Date]]="",SPCC_Table[[#This Row],[PE Stamp Date]]+(365*5),SPCC_Table[[#This Row],[Recertified Date]]+(365*5)))</f>
        <v>47504</v>
      </c>
      <c r="O103" s="34" t="s">
        <v>0</v>
      </c>
      <c r="P103" s="16" t="s">
        <v>1</v>
      </c>
    </row>
    <row r="104" spans="1:16" ht="32.5" customHeight="1" x14ac:dyDescent="0.2">
      <c r="A104" s="16" t="s">
        <v>127</v>
      </c>
      <c r="B104" s="14" t="s">
        <v>19</v>
      </c>
      <c r="C104" s="15"/>
      <c r="D104" s="15"/>
      <c r="E104" s="16"/>
      <c r="F104" s="17" t="str">
        <f>IF(SPCC_Table[[#This Row],[First Prod]]="","",TEXT(C104+181,"M/dd/yy"))</f>
        <v/>
      </c>
      <c r="G104" s="16"/>
      <c r="H104" s="16"/>
      <c r="I104" s="16"/>
      <c r="J104" s="16" t="s">
        <v>19</v>
      </c>
      <c r="K104" s="18">
        <v>43720</v>
      </c>
      <c r="L104" s="18" t="s">
        <v>31</v>
      </c>
      <c r="M104" s="58">
        <v>45679</v>
      </c>
      <c r="N104" s="33">
        <f>IF(SPCC_Table[[#This Row],[PE Stamp Date]]="","",IF(SPCC_Table[[#This Row],[Recertified Date]]="",SPCC_Table[[#This Row],[PE Stamp Date]]+(365*5),SPCC_Table[[#This Row],[Recertified Date]]+(365*5)))</f>
        <v>47504</v>
      </c>
      <c r="O104" s="34" t="s">
        <v>0</v>
      </c>
      <c r="P104" s="16" t="s">
        <v>1</v>
      </c>
    </row>
    <row r="105" spans="1:16" ht="20.25" customHeight="1" x14ac:dyDescent="0.2">
      <c r="A105" s="16" t="s">
        <v>128</v>
      </c>
      <c r="B105" s="14" t="s">
        <v>19</v>
      </c>
      <c r="C105" s="15">
        <v>42411</v>
      </c>
      <c r="D105" s="15"/>
      <c r="E105" s="16"/>
      <c r="F105" s="17" t="str">
        <f>IF(SPCC_Table[[#This Row],[First Prod]]="","",TEXT(C105+181,"M/dd/yy"))</f>
        <v>8/10/16</v>
      </c>
      <c r="G105" s="16"/>
      <c r="H105" s="16"/>
      <c r="I105" s="16"/>
      <c r="J105" s="16" t="s">
        <v>19</v>
      </c>
      <c r="K105" s="18">
        <v>43719</v>
      </c>
      <c r="L105" s="18" t="s">
        <v>31</v>
      </c>
      <c r="M105" s="58">
        <v>45670</v>
      </c>
      <c r="N105" s="33">
        <f>IF(SPCC_Table[[#This Row],[PE Stamp Date]]="","",IF(SPCC_Table[[#This Row],[Recertified Date]]="",SPCC_Table[[#This Row],[PE Stamp Date]]+(365*5),SPCC_Table[[#This Row],[Recertified Date]]+(365*5)))</f>
        <v>47495</v>
      </c>
      <c r="O105" s="34" t="s">
        <v>0</v>
      </c>
      <c r="P105" s="16" t="s">
        <v>1</v>
      </c>
    </row>
    <row r="106" spans="1:16" ht="35.25" customHeight="1" x14ac:dyDescent="0.2">
      <c r="A106" s="16" t="s">
        <v>129</v>
      </c>
      <c r="B106" s="14" t="s">
        <v>19</v>
      </c>
      <c r="C106" s="15">
        <v>42481</v>
      </c>
      <c r="D106" s="15"/>
      <c r="E106" s="16"/>
      <c r="F106" s="17" t="str">
        <f>IF(SPCC_Table[[#This Row],[First Prod]]="","",TEXT(C106+181,"M/dd/yy"))</f>
        <v>10/19/16</v>
      </c>
      <c r="G106" s="16"/>
      <c r="H106" s="16"/>
      <c r="I106" s="16"/>
      <c r="J106" s="16" t="s">
        <v>19</v>
      </c>
      <c r="K106" s="18">
        <v>43719</v>
      </c>
      <c r="L106" s="18" t="s">
        <v>31</v>
      </c>
      <c r="M106" s="58">
        <v>45670</v>
      </c>
      <c r="N106" s="33">
        <f>IF(SPCC_Table[[#This Row],[PE Stamp Date]]="","",IF(SPCC_Table[[#This Row],[Recertified Date]]="",SPCC_Table[[#This Row],[PE Stamp Date]]+(365*5),SPCC_Table[[#This Row],[Recertified Date]]+(365*5)))</f>
        <v>47495</v>
      </c>
      <c r="O106" s="34" t="s">
        <v>0</v>
      </c>
      <c r="P106" s="16" t="s">
        <v>1</v>
      </c>
    </row>
    <row r="107" spans="1:16" ht="20.25" customHeight="1" x14ac:dyDescent="0.2">
      <c r="A107" s="16" t="s">
        <v>130</v>
      </c>
      <c r="B107" s="14" t="s">
        <v>19</v>
      </c>
      <c r="C107" s="15">
        <v>41967</v>
      </c>
      <c r="D107" s="15"/>
      <c r="E107" s="16"/>
      <c r="F107" s="17" t="str">
        <f>IF(SPCC_Table[[#This Row],[First Prod]]="","",TEXT(C107+181,"M/dd/yy"))</f>
        <v>5/24/15</v>
      </c>
      <c r="G107" s="16"/>
      <c r="H107" s="16"/>
      <c r="I107" s="16"/>
      <c r="J107" s="16" t="s">
        <v>19</v>
      </c>
      <c r="K107" s="18">
        <v>43718</v>
      </c>
      <c r="L107" s="18" t="s">
        <v>31</v>
      </c>
      <c r="M107" s="58">
        <v>45670</v>
      </c>
      <c r="N107" s="33">
        <f>IF(SPCC_Table[[#This Row],[PE Stamp Date]]="","",IF(SPCC_Table[[#This Row],[Recertified Date]]="",SPCC_Table[[#This Row],[PE Stamp Date]]+(365*5),SPCC_Table[[#This Row],[Recertified Date]]+(365*5)))</f>
        <v>47495</v>
      </c>
      <c r="O107" s="34" t="s">
        <v>0</v>
      </c>
      <c r="P107" s="16" t="s">
        <v>1</v>
      </c>
    </row>
    <row r="108" spans="1:16" ht="35.25" customHeight="1" x14ac:dyDescent="0.2">
      <c r="A108" s="16" t="s">
        <v>131</v>
      </c>
      <c r="B108" s="14" t="s">
        <v>19</v>
      </c>
      <c r="C108" s="15">
        <v>45174</v>
      </c>
      <c r="D108" s="15"/>
      <c r="E108" s="16"/>
      <c r="F108" s="17" t="str">
        <f>IF(SPCC_Table[[#This Row],[First Prod]]="","",TEXT(C108+181,"M/dd/yy"))</f>
        <v>3/04/24</v>
      </c>
      <c r="G108" s="16"/>
      <c r="H108" s="16"/>
      <c r="I108" s="16"/>
      <c r="J108" s="16" t="s">
        <v>19</v>
      </c>
      <c r="K108" s="18">
        <v>43718</v>
      </c>
      <c r="L108" s="18" t="s">
        <v>31</v>
      </c>
      <c r="M108" s="58">
        <v>45671</v>
      </c>
      <c r="N108" s="33">
        <f>IF(SPCC_Table[[#This Row],[PE Stamp Date]]="","",IF(SPCC_Table[[#This Row],[Recertified Date]]="",SPCC_Table[[#This Row],[PE Stamp Date]]+(365*5),SPCC_Table[[#This Row],[Recertified Date]]+(365*5)))</f>
        <v>47496</v>
      </c>
      <c r="O108" s="34" t="s">
        <v>0</v>
      </c>
      <c r="P108" s="16" t="s">
        <v>1</v>
      </c>
    </row>
    <row r="109" spans="1:16" ht="31.5" customHeight="1" x14ac:dyDescent="0.2">
      <c r="A109" s="16" t="s">
        <v>132</v>
      </c>
      <c r="B109" s="14" t="s">
        <v>19</v>
      </c>
      <c r="C109" s="15"/>
      <c r="D109" s="15"/>
      <c r="E109" s="16"/>
      <c r="F109" s="17" t="str">
        <f>IF(SPCC_Table[[#This Row],[First Prod]]="","",TEXT(C109+181,"M/dd/yy"))</f>
        <v/>
      </c>
      <c r="G109" s="16"/>
      <c r="H109" s="16"/>
      <c r="I109" s="16"/>
      <c r="J109" s="16" t="s">
        <v>19</v>
      </c>
      <c r="K109" s="18">
        <v>43706</v>
      </c>
      <c r="L109" s="18" t="s">
        <v>31</v>
      </c>
      <c r="M109" s="58">
        <v>45671</v>
      </c>
      <c r="N109" s="33">
        <f>IF(SPCC_Table[[#This Row],[PE Stamp Date]]="","",IF(SPCC_Table[[#This Row],[Recertified Date]]="",SPCC_Table[[#This Row],[PE Stamp Date]]+(365*5),SPCC_Table[[#This Row],[Recertified Date]]+(365*5)))</f>
        <v>47496</v>
      </c>
      <c r="O109" s="34" t="s">
        <v>0</v>
      </c>
      <c r="P109" s="16" t="s">
        <v>1</v>
      </c>
    </row>
    <row r="110" spans="1:16" ht="31.5" customHeight="1" x14ac:dyDescent="0.2">
      <c r="A110" s="16" t="s">
        <v>133</v>
      </c>
      <c r="B110" s="14" t="s">
        <v>19</v>
      </c>
      <c r="C110" s="15"/>
      <c r="D110" s="15"/>
      <c r="E110" s="16"/>
      <c r="F110" s="17" t="str">
        <f>IF(SPCC_Table[[#This Row],[First Prod]]="","",TEXT(C110+181,"M/dd/yy"))</f>
        <v/>
      </c>
      <c r="G110" s="16"/>
      <c r="H110" s="16"/>
      <c r="I110" s="16"/>
      <c r="J110" s="16" t="s">
        <v>19</v>
      </c>
      <c r="K110" s="18">
        <v>43705</v>
      </c>
      <c r="L110" s="18" t="s">
        <v>31</v>
      </c>
      <c r="M110" s="58">
        <v>45671</v>
      </c>
      <c r="N110" s="33">
        <f>IF(SPCC_Table[[#This Row],[PE Stamp Date]]="","",IF(SPCC_Table[[#This Row],[Recertified Date]]="",SPCC_Table[[#This Row],[PE Stamp Date]]+(365*5),SPCC_Table[[#This Row],[Recertified Date]]+(365*5)))</f>
        <v>47496</v>
      </c>
      <c r="O110" s="34" t="s">
        <v>0</v>
      </c>
      <c r="P110" s="16" t="s">
        <v>1</v>
      </c>
    </row>
    <row r="111" spans="1:16" ht="20.25" customHeight="1" x14ac:dyDescent="0.2">
      <c r="A111" s="16" t="s">
        <v>134</v>
      </c>
      <c r="B111" s="14" t="s">
        <v>19</v>
      </c>
      <c r="C111" s="15"/>
      <c r="D111" s="15"/>
      <c r="E111" s="16"/>
      <c r="F111" s="17" t="str">
        <f>IF(SPCC_Table[[#This Row],[First Prod]]="","",TEXT(C111+181,"M/dd/yy"))</f>
        <v/>
      </c>
      <c r="G111" s="16"/>
      <c r="H111" s="16"/>
      <c r="I111" s="16"/>
      <c r="J111" s="16" t="s">
        <v>19</v>
      </c>
      <c r="K111" s="18">
        <v>43705</v>
      </c>
      <c r="L111" s="18" t="s">
        <v>31</v>
      </c>
      <c r="M111" s="58">
        <v>45670</v>
      </c>
      <c r="N111" s="33">
        <f>IF(SPCC_Table[[#This Row],[PE Stamp Date]]="","",IF(SPCC_Table[[#This Row],[Recertified Date]]="",SPCC_Table[[#This Row],[PE Stamp Date]]+(365*5),SPCC_Table[[#This Row],[Recertified Date]]+(365*5)))</f>
        <v>47495</v>
      </c>
      <c r="O111" s="34" t="s">
        <v>0</v>
      </c>
      <c r="P111" s="16" t="s">
        <v>1</v>
      </c>
    </row>
    <row r="112" spans="1:16" ht="20.25" customHeight="1" x14ac:dyDescent="0.2">
      <c r="A112" s="16" t="s">
        <v>135</v>
      </c>
      <c r="B112" s="14" t="s">
        <v>19</v>
      </c>
      <c r="C112" s="15"/>
      <c r="D112" s="15"/>
      <c r="E112" s="16"/>
      <c r="F112" s="17" t="str">
        <f>IF(SPCC_Table[[#This Row],[First Prod]]="","",TEXT(C112+181,"M/dd/yy"))</f>
        <v/>
      </c>
      <c r="G112" s="16"/>
      <c r="H112" s="16"/>
      <c r="I112" s="16"/>
      <c r="J112" s="16" t="s">
        <v>19</v>
      </c>
      <c r="K112" s="18">
        <v>43705</v>
      </c>
      <c r="L112" s="18" t="s">
        <v>31</v>
      </c>
      <c r="M112" s="58">
        <v>45670</v>
      </c>
      <c r="N112" s="33">
        <f>IF(SPCC_Table[[#This Row],[PE Stamp Date]]="","",IF(SPCC_Table[[#This Row],[Recertified Date]]="",SPCC_Table[[#This Row],[PE Stamp Date]]+(365*5),SPCC_Table[[#This Row],[Recertified Date]]+(365*5)))</f>
        <v>47495</v>
      </c>
      <c r="O112" s="34" t="s">
        <v>0</v>
      </c>
      <c r="P112" s="16" t="s">
        <v>21</v>
      </c>
    </row>
    <row r="113" spans="1:16" ht="31.75" customHeight="1" x14ac:dyDescent="0.2">
      <c r="A113" s="16" t="s">
        <v>136</v>
      </c>
      <c r="B113" s="14" t="s">
        <v>19</v>
      </c>
      <c r="C113" s="15">
        <v>43487</v>
      </c>
      <c r="D113" s="15"/>
      <c r="E113" s="16"/>
      <c r="F113" s="17" t="str">
        <f>IF(SPCC_Table[[#This Row],[First Prod]]="","",TEXT(C113+181,"M/dd/yy"))</f>
        <v>7/22/19</v>
      </c>
      <c r="G113" s="16"/>
      <c r="H113" s="16"/>
      <c r="I113" s="16"/>
      <c r="J113" s="16" t="s">
        <v>19</v>
      </c>
      <c r="K113" s="18">
        <v>43620</v>
      </c>
      <c r="L113" s="18" t="s">
        <v>31</v>
      </c>
      <c r="M113" s="58">
        <v>45679</v>
      </c>
      <c r="N113" s="33">
        <f>IF(SPCC_Table[[#This Row],[PE Stamp Date]]="","",IF(SPCC_Table[[#This Row],[Recertified Date]]="",SPCC_Table[[#This Row],[PE Stamp Date]]+(365*5),SPCC_Table[[#This Row],[Recertified Date]]+(365*5)))</f>
        <v>47504</v>
      </c>
      <c r="O113" s="34" t="s">
        <v>0</v>
      </c>
      <c r="P113" s="16" t="s">
        <v>21</v>
      </c>
    </row>
    <row r="114" spans="1:16" ht="20.25" customHeight="1" x14ac:dyDescent="0.2">
      <c r="A114" s="16" t="s">
        <v>137</v>
      </c>
      <c r="B114" s="14" t="s">
        <v>19</v>
      </c>
      <c r="C114" s="15"/>
      <c r="D114" s="15"/>
      <c r="E114" s="16"/>
      <c r="F114" s="17" t="str">
        <f>IF(SPCC_Table[[#This Row],[First Prod]]="","",TEXT(C114+181,"M/dd/yy"))</f>
        <v/>
      </c>
      <c r="G114" s="16"/>
      <c r="H114" s="16"/>
      <c r="I114" s="16"/>
      <c r="J114" s="16" t="s">
        <v>19</v>
      </c>
      <c r="K114" s="18">
        <v>43620</v>
      </c>
      <c r="L114" s="18" t="s">
        <v>31</v>
      </c>
      <c r="M114" s="58">
        <v>45679</v>
      </c>
      <c r="N114" s="33">
        <f>IF(SPCC_Table[[#This Row],[PE Stamp Date]]="","",IF(SPCC_Table[[#This Row],[Recertified Date]]="",SPCC_Table[[#This Row],[PE Stamp Date]]+(365*5),SPCC_Table[[#This Row],[Recertified Date]]+(365*5)))</f>
        <v>47504</v>
      </c>
      <c r="O114" s="34" t="s">
        <v>0</v>
      </c>
      <c r="P114" s="16" t="s">
        <v>21</v>
      </c>
    </row>
    <row r="115" spans="1:16" ht="20.25" customHeight="1" x14ac:dyDescent="0.2">
      <c r="A115" s="16" t="s">
        <v>138</v>
      </c>
      <c r="B115" s="14" t="s">
        <v>19</v>
      </c>
      <c r="C115" s="15">
        <v>43440</v>
      </c>
      <c r="D115" s="15"/>
      <c r="E115" s="16"/>
      <c r="F115" s="17" t="str">
        <f>IF(SPCC_Table[[#This Row],[First Prod]]="","",TEXT(C115+181,"M/dd/yy"))</f>
        <v>6/05/19</v>
      </c>
      <c r="G115" s="16"/>
      <c r="H115" s="16"/>
      <c r="I115" s="16"/>
      <c r="J115" s="16" t="s">
        <v>19</v>
      </c>
      <c r="K115" s="18">
        <v>43546</v>
      </c>
      <c r="L115" s="18" t="s">
        <v>31</v>
      </c>
      <c r="M115" s="58">
        <v>45679</v>
      </c>
      <c r="N115" s="33">
        <f>IF(SPCC_Table[[#This Row],[PE Stamp Date]]="","",IF(SPCC_Table[[#This Row],[Recertified Date]]="",SPCC_Table[[#This Row],[PE Stamp Date]]+(365*5),SPCC_Table[[#This Row],[Recertified Date]]+(365*5)))</f>
        <v>47504</v>
      </c>
      <c r="O115" s="34" t="s">
        <v>0</v>
      </c>
      <c r="P115" s="16" t="s">
        <v>21</v>
      </c>
    </row>
    <row r="116" spans="1:16" ht="20.25" customHeight="1" x14ac:dyDescent="0.2">
      <c r="A116" s="16" t="s">
        <v>139</v>
      </c>
      <c r="B116" s="14" t="s">
        <v>19</v>
      </c>
      <c r="C116" s="15">
        <v>43370</v>
      </c>
      <c r="D116" s="15"/>
      <c r="E116" s="16"/>
      <c r="F116" s="17" t="str">
        <f>IF(SPCC_Table[[#This Row],[First Prod]]="","",TEXT(C116+181,"M/dd/yy"))</f>
        <v>3/27/19</v>
      </c>
      <c r="G116" s="16"/>
      <c r="H116" s="16"/>
      <c r="I116" s="16"/>
      <c r="J116" s="16" t="s">
        <v>19</v>
      </c>
      <c r="K116" s="18">
        <v>43438</v>
      </c>
      <c r="L116" s="18" t="s">
        <v>31</v>
      </c>
      <c r="M116" s="58">
        <v>45679</v>
      </c>
      <c r="N116" s="33">
        <f>IF(SPCC_Table[[#This Row],[PE Stamp Date]]="","",IF(SPCC_Table[[#This Row],[Recertified Date]]="",SPCC_Table[[#This Row],[PE Stamp Date]]+(365*5),SPCC_Table[[#This Row],[Recertified Date]]+(365*5)))</f>
        <v>47504</v>
      </c>
      <c r="O116" s="34" t="s">
        <v>0</v>
      </c>
      <c r="P116" s="16" t="s">
        <v>21</v>
      </c>
    </row>
    <row r="117" spans="1:16" ht="20.25" customHeight="1" x14ac:dyDescent="0.2">
      <c r="A117" s="16" t="s">
        <v>140</v>
      </c>
      <c r="B117" s="14" t="s">
        <v>19</v>
      </c>
      <c r="C117" s="15">
        <v>43796</v>
      </c>
      <c r="D117" s="15"/>
      <c r="E117" s="16"/>
      <c r="F117" s="17" t="str">
        <f>IF(SPCC_Table[[#This Row],[First Prod]]="","",TEXT(C117+181,"M/dd/yy"))</f>
        <v>5/26/20</v>
      </c>
      <c r="G117" s="16"/>
      <c r="H117" s="16"/>
      <c r="I117" s="16"/>
      <c r="J117" s="16" t="s">
        <v>19</v>
      </c>
      <c r="K117" s="18">
        <v>43438</v>
      </c>
      <c r="L117" s="18" t="s">
        <v>31</v>
      </c>
      <c r="M117" s="58">
        <v>45679</v>
      </c>
      <c r="N117" s="33">
        <f>IF(SPCC_Table[[#This Row],[PE Stamp Date]]="","",IF(SPCC_Table[[#This Row],[Recertified Date]]="",SPCC_Table[[#This Row],[PE Stamp Date]]+(365*5),SPCC_Table[[#This Row],[Recertified Date]]+(365*5)))</f>
        <v>47504</v>
      </c>
      <c r="O117" s="34" t="s">
        <v>0</v>
      </c>
      <c r="P117" s="16" t="s">
        <v>1</v>
      </c>
    </row>
    <row r="118" spans="1:16" ht="20.25" customHeight="1" x14ac:dyDescent="0.2">
      <c r="A118" s="59" t="s">
        <v>141</v>
      </c>
      <c r="B118" s="14" t="s">
        <v>19</v>
      </c>
      <c r="C118" s="15">
        <v>43372</v>
      </c>
      <c r="D118" s="15"/>
      <c r="E118" s="16"/>
      <c r="F118" s="17" t="str">
        <f>IF(SPCC_Table[[#This Row],[First Prod]]="","",TEXT(C118+181,"M/dd/yy"))</f>
        <v>3/29/19</v>
      </c>
      <c r="G118" s="16"/>
      <c r="H118" s="16"/>
      <c r="I118" s="16"/>
      <c r="J118" s="16" t="s">
        <v>19</v>
      </c>
      <c r="K118" s="18">
        <v>43437</v>
      </c>
      <c r="L118" s="18" t="s">
        <v>31</v>
      </c>
      <c r="M118" s="58">
        <v>45679</v>
      </c>
      <c r="N118" s="33">
        <f>IF(SPCC_Table[[#This Row],[PE Stamp Date]]="","",IF(SPCC_Table[[#This Row],[Recertified Date]]="",SPCC_Table[[#This Row],[PE Stamp Date]]+(365*5),SPCC_Table[[#This Row],[Recertified Date]]+(365*5)))</f>
        <v>47504</v>
      </c>
      <c r="O118" s="34" t="s">
        <v>0</v>
      </c>
      <c r="P118" s="16" t="s">
        <v>1</v>
      </c>
    </row>
    <row r="119" spans="1:16" ht="36.75" customHeight="1" x14ac:dyDescent="0.2">
      <c r="A119" s="16" t="s">
        <v>142</v>
      </c>
      <c r="B119" s="14" t="s">
        <v>19</v>
      </c>
      <c r="C119" s="15">
        <v>43256</v>
      </c>
      <c r="D119" s="15"/>
      <c r="E119" s="16"/>
      <c r="F119" s="17" t="str">
        <f>IF(SPCC_Table[[#This Row],[First Prod]]="","",TEXT(C119+181,"M/dd/yy"))</f>
        <v>12/03/18</v>
      </c>
      <c r="G119" s="16"/>
      <c r="H119" s="16"/>
      <c r="I119" s="16"/>
      <c r="J119" s="16" t="s">
        <v>19</v>
      </c>
      <c r="K119" s="18">
        <v>43437</v>
      </c>
      <c r="L119" s="18" t="s">
        <v>31</v>
      </c>
      <c r="M119" s="58">
        <v>45670</v>
      </c>
      <c r="N119" s="33">
        <f>IF(SPCC_Table[[#This Row],[PE Stamp Date]]="","",IF(SPCC_Table[[#This Row],[Recertified Date]]="",SPCC_Table[[#This Row],[PE Stamp Date]]+(365*5),SPCC_Table[[#This Row],[Recertified Date]]+(365*5)))</f>
        <v>47495</v>
      </c>
      <c r="O119" s="34" t="s">
        <v>0</v>
      </c>
      <c r="P119" s="16" t="s">
        <v>1</v>
      </c>
    </row>
    <row r="120" spans="1:16" ht="20.25" customHeight="1" x14ac:dyDescent="0.2">
      <c r="A120" s="16" t="s">
        <v>143</v>
      </c>
      <c r="B120" s="14" t="s">
        <v>19</v>
      </c>
      <c r="C120" s="15">
        <v>42874</v>
      </c>
      <c r="D120" s="15"/>
      <c r="E120" s="16"/>
      <c r="F120" s="17" t="str">
        <f>IF(SPCC_Table[[#This Row],[First Prod]]="","",TEXT(C120+181,"M/dd/yy"))</f>
        <v>11/16/17</v>
      </c>
      <c r="G120" s="16"/>
      <c r="H120" s="16"/>
      <c r="I120" s="16"/>
      <c r="J120" s="16" t="s">
        <v>19</v>
      </c>
      <c r="K120" s="18">
        <v>43277</v>
      </c>
      <c r="L120" s="18" t="s">
        <v>31</v>
      </c>
      <c r="M120" s="58">
        <v>45679</v>
      </c>
      <c r="N120" s="33">
        <f>IF(SPCC_Table[[#This Row],[PE Stamp Date]]="","",IF(SPCC_Table[[#This Row],[Recertified Date]]="",SPCC_Table[[#This Row],[PE Stamp Date]]+(365*5),SPCC_Table[[#This Row],[Recertified Date]]+(365*5)))</f>
        <v>47504</v>
      </c>
      <c r="O120" s="34" t="s">
        <v>0</v>
      </c>
      <c r="P120" s="16" t="s">
        <v>1</v>
      </c>
    </row>
    <row r="121" spans="1:16" ht="20.25" customHeight="1" x14ac:dyDescent="0.2">
      <c r="A121" s="16" t="s">
        <v>144</v>
      </c>
      <c r="B121" s="14" t="s">
        <v>19</v>
      </c>
      <c r="C121" s="15">
        <v>43002</v>
      </c>
      <c r="D121" s="15"/>
      <c r="E121" s="16"/>
      <c r="F121" s="17" t="str">
        <f>IF(SPCC_Table[[#This Row],[First Prod]]="","",TEXT(C121+181,"M/dd/yy"))</f>
        <v>3/24/18</v>
      </c>
      <c r="G121" s="16"/>
      <c r="H121" s="16"/>
      <c r="I121" s="16"/>
      <c r="J121" s="16" t="s">
        <v>19</v>
      </c>
      <c r="K121" s="18">
        <v>43277</v>
      </c>
      <c r="L121" s="18" t="s">
        <v>31</v>
      </c>
      <c r="M121" s="58">
        <v>45670</v>
      </c>
      <c r="N121" s="33">
        <f>IF(SPCC_Table[[#This Row],[PE Stamp Date]]="","",IF(SPCC_Table[[#This Row],[Recertified Date]]="",SPCC_Table[[#This Row],[PE Stamp Date]]+(365*5),SPCC_Table[[#This Row],[Recertified Date]]+(365*5)))</f>
        <v>47495</v>
      </c>
      <c r="O121" s="34" t="s">
        <v>0</v>
      </c>
      <c r="P121" s="16" t="s">
        <v>21</v>
      </c>
    </row>
    <row r="122" spans="1:16" ht="20.25" customHeight="1" x14ac:dyDescent="0.2">
      <c r="A122" s="16" t="s">
        <v>145</v>
      </c>
      <c r="B122" s="14" t="s">
        <v>19</v>
      </c>
      <c r="C122" s="15">
        <v>43162</v>
      </c>
      <c r="D122" s="15"/>
      <c r="E122" s="16"/>
      <c r="F122" s="17" t="str">
        <f>IF(SPCC_Table[[#This Row],[First Prod]]="","",TEXT(C122+181,"M/dd/yy"))</f>
        <v>8/31/18</v>
      </c>
      <c r="G122" s="16"/>
      <c r="H122" s="16"/>
      <c r="I122" s="16"/>
      <c r="J122" s="16" t="s">
        <v>19</v>
      </c>
      <c r="K122" s="18">
        <v>43277</v>
      </c>
      <c r="L122" s="18" t="s">
        <v>31</v>
      </c>
      <c r="M122" s="58">
        <v>45671</v>
      </c>
      <c r="N122" s="33">
        <f>IF(SPCC_Table[[#This Row],[PE Stamp Date]]="","",IF(SPCC_Table[[#This Row],[Recertified Date]]="",SPCC_Table[[#This Row],[PE Stamp Date]]+(365*5),SPCC_Table[[#This Row],[Recertified Date]]+(365*5)))</f>
        <v>47496</v>
      </c>
      <c r="O122" s="34" t="s">
        <v>0</v>
      </c>
      <c r="P122" s="16" t="s">
        <v>21</v>
      </c>
    </row>
    <row r="123" spans="1:16" ht="43.5" customHeight="1" x14ac:dyDescent="0.2">
      <c r="A123" s="16" t="s">
        <v>146</v>
      </c>
      <c r="B123" s="14" t="s">
        <v>19</v>
      </c>
      <c r="C123" s="15">
        <v>40983</v>
      </c>
      <c r="D123" s="15"/>
      <c r="E123" s="16"/>
      <c r="F123" s="17" t="str">
        <f>IF(SPCC_Table[[#This Row],[First Prod]]="","",TEXT(C123+181,"M/dd/yy"))</f>
        <v>9/12/12</v>
      </c>
      <c r="G123" s="16"/>
      <c r="H123" s="16"/>
      <c r="I123" s="16"/>
      <c r="J123" s="16" t="s">
        <v>19</v>
      </c>
      <c r="K123" s="18">
        <v>43277</v>
      </c>
      <c r="L123" s="18" t="s">
        <v>31</v>
      </c>
      <c r="M123" s="58">
        <v>45670</v>
      </c>
      <c r="N123" s="33">
        <f>IF(SPCC_Table[[#This Row],[PE Stamp Date]]="","",IF(SPCC_Table[[#This Row],[Recertified Date]]="",SPCC_Table[[#This Row],[PE Stamp Date]]+(365*5),SPCC_Table[[#This Row],[Recertified Date]]+(365*5)))</f>
        <v>47495</v>
      </c>
      <c r="O123" s="34" t="s">
        <v>0</v>
      </c>
      <c r="P123" s="16" t="s">
        <v>21</v>
      </c>
    </row>
    <row r="124" spans="1:16" ht="20.25" customHeight="1" x14ac:dyDescent="0.2">
      <c r="A124" s="16" t="s">
        <v>147</v>
      </c>
      <c r="B124" s="14" t="s">
        <v>19</v>
      </c>
      <c r="C124" s="15">
        <v>43149</v>
      </c>
      <c r="D124" s="15"/>
      <c r="E124" s="16"/>
      <c r="F124" s="17" t="str">
        <f>IF(SPCC_Table[[#This Row],[First Prod]]="","",TEXT(C124+181,"M/dd/yy"))</f>
        <v>8/18/18</v>
      </c>
      <c r="G124" s="16"/>
      <c r="H124" s="16"/>
      <c r="I124" s="16"/>
      <c r="J124" s="16" t="s">
        <v>19</v>
      </c>
      <c r="K124" s="18">
        <v>43276</v>
      </c>
      <c r="L124" s="18" t="s">
        <v>31</v>
      </c>
      <c r="M124" s="58">
        <v>45671</v>
      </c>
      <c r="N124" s="33">
        <f>IF(SPCC_Table[[#This Row],[PE Stamp Date]]="","",IF(SPCC_Table[[#This Row],[Recertified Date]]="",SPCC_Table[[#This Row],[PE Stamp Date]]+(365*5),SPCC_Table[[#This Row],[Recertified Date]]+(365*5)))</f>
        <v>47496</v>
      </c>
      <c r="O124" s="34" t="s">
        <v>0</v>
      </c>
      <c r="P124" s="16" t="s">
        <v>21</v>
      </c>
    </row>
    <row r="125" spans="1:16" ht="20.25" customHeight="1" x14ac:dyDescent="0.2">
      <c r="A125" s="16" t="s">
        <v>148</v>
      </c>
      <c r="B125" s="14" t="s">
        <v>19</v>
      </c>
      <c r="C125" s="15">
        <v>42371</v>
      </c>
      <c r="D125" s="15">
        <v>45076</v>
      </c>
      <c r="E125" s="60"/>
      <c r="F125" s="17" t="str">
        <f>IF(SPCC_Table[[#This Row],[First Prod]]="","",TEXT(C125+181,"M/dd/yy"))</f>
        <v>7/01/16</v>
      </c>
      <c r="G125" s="16"/>
      <c r="H125" s="16"/>
      <c r="I125" s="16"/>
      <c r="J125" s="16" t="s">
        <v>19</v>
      </c>
      <c r="K125" s="18">
        <v>43171</v>
      </c>
      <c r="L125" s="18" t="s">
        <v>31</v>
      </c>
      <c r="M125" s="58">
        <v>45717</v>
      </c>
      <c r="N125" s="33">
        <f>IF(SPCC_Table[[#This Row],[PE Stamp Date]]="","",IF(SPCC_Table[[#This Row],[Recertified Date]]="",SPCC_Table[[#This Row],[PE Stamp Date]]+(365*5),SPCC_Table[[#This Row],[Recertified Date]]+(365*5)))</f>
        <v>47542</v>
      </c>
      <c r="O125" s="34" t="s">
        <v>0</v>
      </c>
      <c r="P125" s="16" t="s">
        <v>1</v>
      </c>
    </row>
    <row r="126" spans="1:16" ht="20.25" customHeight="1" x14ac:dyDescent="0.2">
      <c r="A126" s="16" t="s">
        <v>149</v>
      </c>
      <c r="B126" s="14" t="s">
        <v>19</v>
      </c>
      <c r="C126" s="15">
        <v>42797</v>
      </c>
      <c r="D126" s="15">
        <v>45076</v>
      </c>
      <c r="E126" s="60"/>
      <c r="F126" s="17" t="str">
        <f>IF(SPCC_Table[[#This Row],[First Prod]]="","",TEXT(C126+181,"M/dd/yy"))</f>
        <v>8/31/17</v>
      </c>
      <c r="G126" s="16"/>
      <c r="H126" s="16"/>
      <c r="I126" s="16"/>
      <c r="J126" s="16" t="s">
        <v>19</v>
      </c>
      <c r="K126" s="18">
        <v>43171</v>
      </c>
      <c r="L126" s="18" t="s">
        <v>31</v>
      </c>
      <c r="M126" s="58">
        <v>45717</v>
      </c>
      <c r="N126" s="33">
        <f>IF(SPCC_Table[[#This Row],[PE Stamp Date]]="","",IF(SPCC_Table[[#This Row],[Recertified Date]]="",SPCC_Table[[#This Row],[PE Stamp Date]]+(365*5),SPCC_Table[[#This Row],[Recertified Date]]+(365*5)))</f>
        <v>47542</v>
      </c>
      <c r="O126" s="34" t="s">
        <v>0</v>
      </c>
      <c r="P126" s="16" t="s">
        <v>1</v>
      </c>
    </row>
    <row r="127" spans="1:16" ht="27" customHeight="1" x14ac:dyDescent="0.2">
      <c r="A127" s="16" t="s">
        <v>150</v>
      </c>
      <c r="B127" s="14" t="s">
        <v>19</v>
      </c>
      <c r="C127" s="15">
        <v>42887</v>
      </c>
      <c r="D127" s="15"/>
      <c r="E127" s="16"/>
      <c r="F127" s="17" t="str">
        <f>IF(SPCC_Table[[#This Row],[First Prod]]="","",TEXT(C127+181,"M/dd/yy"))</f>
        <v>11/29/17</v>
      </c>
      <c r="G127" s="16"/>
      <c r="H127" s="16"/>
      <c r="I127" s="16"/>
      <c r="J127" s="16" t="s">
        <v>19</v>
      </c>
      <c r="K127" s="18">
        <v>43081</v>
      </c>
      <c r="L127" s="18" t="s">
        <v>31</v>
      </c>
      <c r="M127" s="58">
        <v>45679</v>
      </c>
      <c r="N127" s="33">
        <f>IF(SPCC_Table[[#This Row],[PE Stamp Date]]="","",IF(SPCC_Table[[#This Row],[Recertified Date]]="",SPCC_Table[[#This Row],[PE Stamp Date]]+(365*5),SPCC_Table[[#This Row],[Recertified Date]]+(365*5)))</f>
        <v>47504</v>
      </c>
      <c r="O127" s="34" t="s">
        <v>0</v>
      </c>
      <c r="P127" s="16" t="s">
        <v>1</v>
      </c>
    </row>
    <row r="128" spans="1:16" ht="20.25" customHeight="1" x14ac:dyDescent="0.2">
      <c r="A128" s="61" t="s">
        <v>151</v>
      </c>
      <c r="B128" s="62" t="s">
        <v>19</v>
      </c>
      <c r="C128" s="63">
        <v>40462</v>
      </c>
      <c r="D128" s="63">
        <v>45076</v>
      </c>
      <c r="E128" s="61"/>
      <c r="F128" s="64" t="str">
        <f>IF(SPCC_Table[[#This Row],[First Prod]]="","",TEXT(C128+181,"M/dd/yy"))</f>
        <v>4/10/11</v>
      </c>
      <c r="G128" s="61"/>
      <c r="H128" s="61"/>
      <c r="I128" s="61"/>
      <c r="J128" s="61" t="s">
        <v>19</v>
      </c>
      <c r="K128" s="65">
        <v>42867</v>
      </c>
      <c r="L128" s="63" t="s">
        <v>31</v>
      </c>
      <c r="M128" s="66">
        <v>45670</v>
      </c>
      <c r="N128" s="67">
        <f>IF(SPCC_Table[[#This Row],[PE Stamp Date]]="","",IF(SPCC_Table[[#This Row],[Recertified Date]]="",SPCC_Table[[#This Row],[PE Stamp Date]]+(365*5),SPCC_Table[[#This Row],[Recertified Date]]+(365*5)))</f>
        <v>47495</v>
      </c>
      <c r="O128" s="68" t="s">
        <v>0</v>
      </c>
      <c r="P128" s="61" t="s">
        <v>21</v>
      </c>
    </row>
    <row r="129" spans="1:16" ht="20.25" customHeight="1" x14ac:dyDescent="0.2">
      <c r="A129" s="16"/>
      <c r="B129" s="14"/>
      <c r="C129" s="15"/>
      <c r="D129" s="15"/>
      <c r="E129" s="15"/>
      <c r="F129" s="44" t="str">
        <f>IF(SPCC_Table[[#This Row],[First Prod]]="","",TEXT(C129+181,"M/dd/yy"))</f>
        <v/>
      </c>
      <c r="G129" s="16"/>
      <c r="H129" s="16"/>
      <c r="I129" s="16"/>
      <c r="J129" s="16"/>
      <c r="K129" s="18"/>
      <c r="L129" s="15"/>
      <c r="M129" s="45" t="str">
        <f>SPCC_Table[[#This Row],[Recertification Due Date]]</f>
        <v/>
      </c>
      <c r="N129" s="33" t="str">
        <f>IF(SPCC_Table[[#This Row],[PE Stamp Date]]="","",IF(SPCC_Table[[#This Row],[Recertified Date]]="",SPCC_Table[[#This Row],[PE Stamp Date]]+(365*5),SPCC_Table[[#This Row],[Recertified Date]]+(365*5)))</f>
        <v/>
      </c>
      <c r="O129" s="34"/>
      <c r="P129" s="16"/>
    </row>
  </sheetData>
  <conditionalFormatting sqref="A2:A129 E2:E129">
    <cfRule type="expression" dxfId="6" priority="1">
      <formula>$N2&lt;=TODAY()</formula>
    </cfRule>
  </conditionalFormatting>
  <conditionalFormatting sqref="A126:J1048576 N126:N1048576">
    <cfRule type="expression" dxfId="5" priority="4">
      <formula>$L126&lt;&gt;""</formula>
    </cfRule>
  </conditionalFormatting>
  <conditionalFormatting sqref="A2:P129">
    <cfRule type="expression" dxfId="4" priority="2" stopIfTrue="1">
      <formula>$O2="SPCC Renewal Completed"</formula>
    </cfRule>
    <cfRule type="expression" dxfId="3" priority="3">
      <formula>$K2&lt;&gt;""</formula>
    </cfRule>
    <cfRule type="expression" dxfId="2" priority="5" stopIfTrue="1">
      <formula>AND($B2&lt;&gt;"Yes",$C2="")</formula>
    </cfRule>
    <cfRule type="expression" dxfId="1" priority="6" stopIfTrue="1">
      <formula>OR($B2="No",$B2="")</formula>
    </cfRule>
    <cfRule type="expression" dxfId="0" priority="7">
      <formula>$N2&lt;TODAY()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SPCC</vt:lpstr>
      <vt:lpstr>SPCCData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myAI</dc:creator>
  <cp:lastModifiedBy>Israel myAI</cp:lastModifiedBy>
  <dcterms:created xsi:type="dcterms:W3CDTF">2026-02-07T21:20:23Z</dcterms:created>
  <dcterms:modified xsi:type="dcterms:W3CDTF">2026-02-08T02:25:29Z</dcterms:modified>
</cp:coreProperties>
</file>